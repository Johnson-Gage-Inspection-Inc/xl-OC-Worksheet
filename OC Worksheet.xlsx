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giquality-my.sharepoint.com/personal/johnny_jgiquality_com/Documents/Desktop/"/>
    </mc:Choice>
  </mc:AlternateContent>
  <xr:revisionPtr revIDLastSave="242" documentId="8_{56AE4B15-B557-4C3F-9F75-0649275E27E2}" xr6:coauthVersionLast="47" xr6:coauthVersionMax="47" xr10:uidLastSave="{FA79C78D-0030-461F-8F81-827AA84E1036}"/>
  <bookViews>
    <workbookView xWindow="-108" yWindow="-108" windowWidth="23256" windowHeight="13896" tabRatio="694" xr2:uid="{00000000-000D-0000-FFFF-FFFF00000000}"/>
  </bookViews>
  <sheets>
    <sheet name="Worksheet" sheetId="2" r:id="rId1"/>
    <sheet name="Machine info" sheetId="4" r:id="rId2"/>
    <sheet name="OC3000 Values" sheetId="6" r:id="rId3"/>
    <sheet name="OC4000 Values" sheetId="11" r:id="rId4"/>
    <sheet name="Vaidation Log" sheetId="7" r:id="rId5"/>
    <sheet name="OC1000 Values" sheetId="1" r:id="rId6"/>
    <sheet name="OC1000 Calibration" sheetId="9" r:id="rId7"/>
    <sheet name="OC100A Results 2019" sheetId="10" r:id="rId8"/>
    <sheet name="Magscale OC100 Old test" sheetId="3" r:id="rId9"/>
    <sheet name="Sheet2" sheetId="8" r:id="rId10"/>
  </sheets>
  <definedNames>
    <definedName name="_xlnm.Print_Area" localSheetId="8">'Magscale OC100 Old test'!$A$1:$W$65</definedName>
    <definedName name="_xlnm.Print_Area" localSheetId="7">'OC100A Results 2019'!$A$1:$W$65</definedName>
    <definedName name="_xlnm.Print_Area" localSheetId="0">Worksheet!$A$2:$P$26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" i="6" l="1"/>
  <c r="X17" i="6"/>
  <c r="W17" i="6"/>
  <c r="Y17" i="6" s="1"/>
  <c r="S17" i="6"/>
  <c r="X16" i="6"/>
  <c r="W16" i="6"/>
  <c r="Y16" i="6" s="1"/>
  <c r="S16" i="6"/>
  <c r="X15" i="6"/>
  <c r="W15" i="6"/>
  <c r="Y15" i="6" s="1"/>
  <c r="S15" i="6"/>
  <c r="X14" i="6"/>
  <c r="W14" i="6"/>
  <c r="Y14" i="6" s="1"/>
  <c r="S14" i="6"/>
  <c r="X13" i="6"/>
  <c r="W13" i="6"/>
  <c r="Y13" i="6" s="1"/>
  <c r="S13" i="6"/>
  <c r="AB12" i="6"/>
  <c r="X12" i="6"/>
  <c r="W12" i="6"/>
  <c r="Y12" i="6" s="1"/>
  <c r="S12" i="6"/>
  <c r="X11" i="6"/>
  <c r="W11" i="6"/>
  <c r="Y11" i="6" s="1"/>
  <c r="S11" i="6"/>
  <c r="X10" i="6"/>
  <c r="W10" i="6"/>
  <c r="Y10" i="6" s="1"/>
  <c r="AB10" i="6" s="1"/>
  <c r="S10" i="6"/>
  <c r="X9" i="6"/>
  <c r="W9" i="6"/>
  <c r="Y9" i="6" s="1"/>
  <c r="S9" i="6"/>
  <c r="X8" i="6"/>
  <c r="W8" i="6"/>
  <c r="Y8" i="6" s="1"/>
  <c r="S8" i="6"/>
  <c r="X7" i="6"/>
  <c r="W7" i="6"/>
  <c r="Y7" i="6" s="1"/>
  <c r="S7" i="6"/>
  <c r="X6" i="6"/>
  <c r="W6" i="6"/>
  <c r="Y6" i="6" s="1"/>
  <c r="S6" i="6"/>
  <c r="AA7" i="11"/>
  <c r="AB7" i="11"/>
  <c r="AC7" i="11"/>
  <c r="AD7" i="11"/>
  <c r="AA8" i="11"/>
  <c r="AB8" i="11"/>
  <c r="AC8" i="11"/>
  <c r="AD8" i="11"/>
  <c r="AA9" i="11"/>
  <c r="AB9" i="11"/>
  <c r="AC9" i="11"/>
  <c r="AD9" i="11"/>
  <c r="AA10" i="11"/>
  <c r="AB10" i="11"/>
  <c r="AC10" i="11"/>
  <c r="AD10" i="11"/>
  <c r="AA11" i="11"/>
  <c r="AB11" i="11"/>
  <c r="AC11" i="11"/>
  <c r="AD11" i="11"/>
  <c r="AA12" i="11"/>
  <c r="AB12" i="11"/>
  <c r="AC12" i="11"/>
  <c r="AD12" i="11"/>
  <c r="AA13" i="11"/>
  <c r="AB13" i="11"/>
  <c r="AC13" i="11"/>
  <c r="AD13" i="11"/>
  <c r="AA14" i="11"/>
  <c r="AB14" i="11"/>
  <c r="AC14" i="11"/>
  <c r="AD14" i="11"/>
  <c r="AA15" i="11"/>
  <c r="AB15" i="11"/>
  <c r="AC15" i="11"/>
  <c r="AD15" i="11"/>
  <c r="AA16" i="11"/>
  <c r="AB16" i="11"/>
  <c r="AC16" i="11"/>
  <c r="AD16" i="11"/>
  <c r="AA17" i="11"/>
  <c r="AB17" i="11"/>
  <c r="AC17" i="11"/>
  <c r="AD17" i="11"/>
  <c r="AD6" i="11"/>
  <c r="X17" i="11"/>
  <c r="S17" i="11"/>
  <c r="Q17" i="11"/>
  <c r="W17" i="11" s="1"/>
  <c r="Y17" i="11" s="1"/>
  <c r="X16" i="11"/>
  <c r="S16" i="11" s="1"/>
  <c r="Q16" i="11"/>
  <c r="W16" i="11" s="1"/>
  <c r="Y16" i="11" s="1"/>
  <c r="X15" i="11"/>
  <c r="S15" i="11"/>
  <c r="Q15" i="11"/>
  <c r="W15" i="11" s="1"/>
  <c r="Y15" i="11" s="1"/>
  <c r="X14" i="11"/>
  <c r="S14" i="11" s="1"/>
  <c r="Q14" i="11"/>
  <c r="W14" i="11" s="1"/>
  <c r="Y14" i="11" s="1"/>
  <c r="X13" i="11"/>
  <c r="S13" i="11" s="1"/>
  <c r="Q13" i="11"/>
  <c r="W13" i="11" s="1"/>
  <c r="Y13" i="11" s="1"/>
  <c r="X12" i="11"/>
  <c r="S12" i="11" s="1"/>
  <c r="Q12" i="11"/>
  <c r="W12" i="11" s="1"/>
  <c r="Y12" i="11" s="1"/>
  <c r="X11" i="11"/>
  <c r="S11" i="11" s="1"/>
  <c r="Q11" i="11"/>
  <c r="W11" i="11" s="1"/>
  <c r="Y11" i="11" s="1"/>
  <c r="X10" i="11"/>
  <c r="S10" i="11" s="1"/>
  <c r="Q10" i="11"/>
  <c r="W10" i="11" s="1"/>
  <c r="Y10" i="11" s="1"/>
  <c r="X9" i="11"/>
  <c r="S9" i="11" s="1"/>
  <c r="Q9" i="11"/>
  <c r="W9" i="11" s="1"/>
  <c r="Y9" i="11" s="1"/>
  <c r="X8" i="11"/>
  <c r="S8" i="11" s="1"/>
  <c r="Q8" i="11"/>
  <c r="W8" i="11" s="1"/>
  <c r="Y8" i="11" s="1"/>
  <c r="X7" i="11"/>
  <c r="S7" i="11" s="1"/>
  <c r="Q7" i="11"/>
  <c r="W7" i="11" s="1"/>
  <c r="Y7" i="11" s="1"/>
  <c r="X6" i="11"/>
  <c r="S6" i="11" s="1"/>
  <c r="Q6" i="11"/>
  <c r="W6" i="11" s="1"/>
  <c r="Y6" i="11" s="1"/>
  <c r="Q6" i="6"/>
  <c r="I10" i="2"/>
  <c r="G33" i="2"/>
  <c r="G34" i="2"/>
  <c r="G35" i="2"/>
  <c r="G36" i="2"/>
  <c r="G37" i="2"/>
  <c r="G38" i="2"/>
  <c r="G39" i="2"/>
  <c r="G40" i="2"/>
  <c r="G41" i="2"/>
  <c r="G42" i="2"/>
  <c r="G43" i="2"/>
  <c r="I43" i="2"/>
  <c r="I33" i="2"/>
  <c r="I34" i="2"/>
  <c r="I35" i="2"/>
  <c r="I36" i="2"/>
  <c r="I37" i="2"/>
  <c r="I38" i="2"/>
  <c r="I39" i="2"/>
  <c r="I40" i="2"/>
  <c r="I41" i="2"/>
  <c r="I42" i="2"/>
  <c r="I32" i="2"/>
  <c r="G32" i="2" s="1"/>
  <c r="AC10" i="6" l="1"/>
  <c r="AD10" i="6" s="1"/>
  <c r="U10" i="6" s="1"/>
  <c r="V10" i="6" s="1"/>
  <c r="AA15" i="6"/>
  <c r="Z15" i="6"/>
  <c r="T15" i="6" s="1"/>
  <c r="AA8" i="6"/>
  <c r="Z8" i="6"/>
  <c r="T8" i="6" s="1"/>
  <c r="AA13" i="6"/>
  <c r="Z13" i="6"/>
  <c r="T13" i="6" s="1"/>
  <c r="AB15" i="6"/>
  <c r="AC15" i="6" s="1"/>
  <c r="AD15" i="6" s="1"/>
  <c r="U15" i="6" s="1"/>
  <c r="V15" i="6" s="1"/>
  <c r="AA6" i="6"/>
  <c r="Z6" i="6"/>
  <c r="T6" i="6" s="1"/>
  <c r="AB8" i="6"/>
  <c r="AC8" i="6" s="1"/>
  <c r="AD8" i="6" s="1"/>
  <c r="U8" i="6" s="1"/>
  <c r="V8" i="6" s="1"/>
  <c r="AA11" i="6"/>
  <c r="Z11" i="6"/>
  <c r="T11" i="6" s="1"/>
  <c r="AB13" i="6"/>
  <c r="AB6" i="6"/>
  <c r="AA16" i="6"/>
  <c r="Z16" i="6"/>
  <c r="T16" i="6" s="1"/>
  <c r="AA9" i="6"/>
  <c r="Z9" i="6"/>
  <c r="T9" i="6" s="1"/>
  <c r="AB11" i="6"/>
  <c r="AA14" i="6"/>
  <c r="Z14" i="6"/>
  <c r="T14" i="6" s="1"/>
  <c r="AB16" i="6"/>
  <c r="AC16" i="6" s="1"/>
  <c r="AD16" i="6" s="1"/>
  <c r="U16" i="6" s="1"/>
  <c r="V16" i="6" s="1"/>
  <c r="AA7" i="6"/>
  <c r="Z7" i="6"/>
  <c r="T7" i="6" s="1"/>
  <c r="AB9" i="6"/>
  <c r="AA12" i="6"/>
  <c r="AC12" i="6" s="1"/>
  <c r="AD12" i="6" s="1"/>
  <c r="U12" i="6" s="1"/>
  <c r="Z12" i="6"/>
  <c r="T12" i="6" s="1"/>
  <c r="AB14" i="6"/>
  <c r="AB7" i="6"/>
  <c r="AA17" i="6"/>
  <c r="AC17" i="6" s="1"/>
  <c r="AD17" i="6" s="1"/>
  <c r="U17" i="6" s="1"/>
  <c r="V17" i="6" s="1"/>
  <c r="Z17" i="6"/>
  <c r="T17" i="6" s="1"/>
  <c r="AA10" i="6"/>
  <c r="Z10" i="6"/>
  <c r="T10" i="6" s="1"/>
  <c r="Z16" i="11"/>
  <c r="T16" i="11" s="1"/>
  <c r="Z17" i="11"/>
  <c r="Z14" i="11"/>
  <c r="T14" i="11" s="1"/>
  <c r="Z13" i="11"/>
  <c r="T13" i="11" s="1"/>
  <c r="Z9" i="11"/>
  <c r="T9" i="11" s="1"/>
  <c r="Z15" i="11"/>
  <c r="T15" i="11" s="1"/>
  <c r="Z12" i="11"/>
  <c r="T12" i="11" s="1"/>
  <c r="Z11" i="11"/>
  <c r="T11" i="11" s="1"/>
  <c r="Z10" i="11"/>
  <c r="T10" i="11" s="1"/>
  <c r="Z8" i="11"/>
  <c r="T8" i="11" s="1"/>
  <c r="Z7" i="11"/>
  <c r="T7" i="11" s="1"/>
  <c r="Z6" i="11"/>
  <c r="T6" i="11" s="1"/>
  <c r="AB6" i="11"/>
  <c r="AA6" i="11"/>
  <c r="U17" i="11"/>
  <c r="U11" i="11"/>
  <c r="U9" i="11"/>
  <c r="U8" i="11"/>
  <c r="U16" i="11"/>
  <c r="V16" i="11" s="1"/>
  <c r="U7" i="11"/>
  <c r="U6" i="11"/>
  <c r="T17" i="11"/>
  <c r="M1" i="11"/>
  <c r="M1" i="6"/>
  <c r="K42" i="2"/>
  <c r="K32" i="2"/>
  <c r="K33" i="2"/>
  <c r="K34" i="2"/>
  <c r="K35" i="2"/>
  <c r="K36" i="2"/>
  <c r="K37" i="2"/>
  <c r="K38" i="2"/>
  <c r="K39" i="2"/>
  <c r="K40" i="2"/>
  <c r="K41" i="2"/>
  <c r="K31" i="2"/>
  <c r="J48" i="11"/>
  <c r="H47" i="11"/>
  <c r="J47" i="11" s="1"/>
  <c r="H46" i="11"/>
  <c r="J46" i="11" s="1"/>
  <c r="H45" i="11"/>
  <c r="J45" i="11" s="1"/>
  <c r="H44" i="11"/>
  <c r="J44" i="11" s="1"/>
  <c r="H43" i="11"/>
  <c r="J43" i="11" s="1"/>
  <c r="H42" i="11"/>
  <c r="J42" i="11" s="1"/>
  <c r="H41" i="11"/>
  <c r="J41" i="11" s="1"/>
  <c r="H40" i="11"/>
  <c r="J40" i="11" s="1"/>
  <c r="H39" i="11"/>
  <c r="J39" i="11" s="1"/>
  <c r="H38" i="11"/>
  <c r="J38" i="11" s="1"/>
  <c r="H37" i="11"/>
  <c r="J37" i="11" s="1"/>
  <c r="H36" i="11"/>
  <c r="J36" i="11" s="1"/>
  <c r="H35" i="11"/>
  <c r="J35" i="11" s="1"/>
  <c r="H34" i="11"/>
  <c r="J34" i="11" s="1"/>
  <c r="F30" i="11"/>
  <c r="F29" i="11"/>
  <c r="F28" i="11"/>
  <c r="F27" i="11"/>
  <c r="F26" i="11"/>
  <c r="F25" i="11"/>
  <c r="F24" i="11"/>
  <c r="F23" i="11"/>
  <c r="J22" i="11"/>
  <c r="J24" i="11" s="1"/>
  <c r="F22" i="11"/>
  <c r="F21" i="11"/>
  <c r="F20" i="11"/>
  <c r="F19" i="11"/>
  <c r="K18" i="11"/>
  <c r="I18" i="11" s="1"/>
  <c r="F18" i="11"/>
  <c r="K17" i="11"/>
  <c r="I17" i="11" s="1"/>
  <c r="F17" i="11"/>
  <c r="K16" i="11"/>
  <c r="I16" i="11" s="1"/>
  <c r="F16" i="11"/>
  <c r="K15" i="11"/>
  <c r="I15" i="11" s="1"/>
  <c r="F15" i="11"/>
  <c r="K14" i="11"/>
  <c r="I14" i="11" s="1"/>
  <c r="F14" i="11"/>
  <c r="K13" i="11"/>
  <c r="I13" i="11" s="1"/>
  <c r="F13" i="11"/>
  <c r="K12" i="11"/>
  <c r="I12" i="11" s="1"/>
  <c r="F12" i="11"/>
  <c r="L36" i="2"/>
  <c r="K11" i="11"/>
  <c r="I11" i="11" s="1"/>
  <c r="F11" i="11"/>
  <c r="L35" i="2"/>
  <c r="K10" i="11"/>
  <c r="I10" i="11" s="1"/>
  <c r="F10" i="11"/>
  <c r="L34" i="2"/>
  <c r="K9" i="11"/>
  <c r="I9" i="11" s="1"/>
  <c r="F9" i="11"/>
  <c r="K8" i="11"/>
  <c r="I8" i="11" s="1"/>
  <c r="F8" i="11"/>
  <c r="K7" i="11"/>
  <c r="I7" i="11" s="1"/>
  <c r="F7" i="11"/>
  <c r="J6" i="11"/>
  <c r="K6" i="11" s="1"/>
  <c r="F6" i="11"/>
  <c r="P9" i="2" a="1"/>
  <c r="P9" i="2" s="1"/>
  <c r="Q9" i="2" a="1"/>
  <c r="Q9" i="2" s="1"/>
  <c r="Q7" i="6"/>
  <c r="Q8" i="6"/>
  <c r="Q9" i="6"/>
  <c r="Q10" i="6"/>
  <c r="Q11" i="6"/>
  <c r="Q12" i="6"/>
  <c r="Q13" i="6"/>
  <c r="Q14" i="6"/>
  <c r="Q15" i="6"/>
  <c r="Q16" i="6"/>
  <c r="Q17" i="6"/>
  <c r="F30" i="1"/>
  <c r="F28" i="1"/>
  <c r="F26" i="1"/>
  <c r="F24" i="1"/>
  <c r="F22" i="1"/>
  <c r="F20" i="1"/>
  <c r="F18" i="1"/>
  <c r="F16" i="1"/>
  <c r="F14" i="1"/>
  <c r="F12" i="1"/>
  <c r="F8" i="1"/>
  <c r="H9" i="2" s="1"/>
  <c r="F9" i="1"/>
  <c r="F10" i="1"/>
  <c r="F7" i="1"/>
  <c r="E7" i="1"/>
  <c r="J22" i="6"/>
  <c r="J24" i="6" s="1"/>
  <c r="N41" i="11"/>
  <c r="N48" i="11"/>
  <c r="M40" i="11"/>
  <c r="M36" i="11"/>
  <c r="M44" i="11"/>
  <c r="AC7" i="6" l="1"/>
  <c r="AD7" i="6" s="1"/>
  <c r="U7" i="6" s="1"/>
  <c r="V7" i="6" s="1"/>
  <c r="AC13" i="6"/>
  <c r="AD13" i="6" s="1"/>
  <c r="U13" i="6" s="1"/>
  <c r="V13" i="6" s="1"/>
  <c r="AC11" i="6"/>
  <c r="AD11" i="6" s="1"/>
  <c r="U11" i="6" s="1"/>
  <c r="V11" i="6" s="1"/>
  <c r="AC14" i="6"/>
  <c r="AD14" i="6" s="1"/>
  <c r="U14" i="6" s="1"/>
  <c r="V14" i="6" s="1"/>
  <c r="V12" i="6"/>
  <c r="AC6" i="6"/>
  <c r="AD6" i="6" s="1"/>
  <c r="U6" i="6" s="1"/>
  <c r="V6" i="6" s="1"/>
  <c r="AC9" i="6"/>
  <c r="AD9" i="6" s="1"/>
  <c r="U9" i="6" s="1"/>
  <c r="V9" i="6" s="1"/>
  <c r="V11" i="11"/>
  <c r="V9" i="11"/>
  <c r="AC6" i="11"/>
  <c r="V17" i="11"/>
  <c r="U15" i="11"/>
  <c r="V15" i="11" s="1"/>
  <c r="U14" i="11"/>
  <c r="V14" i="11" s="1"/>
  <c r="U13" i="11"/>
  <c r="V13" i="11" s="1"/>
  <c r="U12" i="11"/>
  <c r="V12" i="11" s="1"/>
  <c r="U10" i="11"/>
  <c r="V10" i="11" s="1"/>
  <c r="V6" i="11"/>
  <c r="V8" i="11"/>
  <c r="V7" i="11"/>
  <c r="E1" i="2"/>
  <c r="L42" i="2"/>
  <c r="L41" i="2"/>
  <c r="L40" i="2"/>
  <c r="L39" i="2"/>
  <c r="L38" i="2"/>
  <c r="L37" i="2"/>
  <c r="L33" i="2"/>
  <c r="L32" i="2"/>
  <c r="L31" i="2"/>
  <c r="I1" i="2"/>
  <c r="E65" i="10"/>
  <c r="E60" i="10"/>
  <c r="F60" i="10" s="1"/>
  <c r="E55" i="10"/>
  <c r="E50" i="10"/>
  <c r="I80" i="10"/>
  <c r="K79" i="10"/>
  <c r="I79" i="10"/>
  <c r="I78" i="10"/>
  <c r="K78" i="10" s="1"/>
  <c r="I77" i="10"/>
  <c r="K77" i="10" s="1"/>
  <c r="I76" i="10"/>
  <c r="I75" i="10"/>
  <c r="K75" i="10" s="1"/>
  <c r="K74" i="10"/>
  <c r="I74" i="10"/>
  <c r="I73" i="10"/>
  <c r="K73" i="10" s="1"/>
  <c r="I72" i="10"/>
  <c r="K71" i="10"/>
  <c r="I71" i="10"/>
  <c r="K70" i="10"/>
  <c r="I70" i="10"/>
  <c r="I69" i="10"/>
  <c r="K69" i="10" s="1"/>
  <c r="I68" i="10"/>
  <c r="K67" i="10"/>
  <c r="I67" i="10"/>
  <c r="K66" i="10"/>
  <c r="I66" i="10"/>
  <c r="I65" i="10"/>
  <c r="K65" i="10" s="1"/>
  <c r="F65" i="10"/>
  <c r="I64" i="10"/>
  <c r="F64" i="10"/>
  <c r="K63" i="10"/>
  <c r="I63" i="10"/>
  <c r="F63" i="10"/>
  <c r="I62" i="10"/>
  <c r="K62" i="10" s="1"/>
  <c r="F62" i="10"/>
  <c r="I61" i="10"/>
  <c r="F61" i="10"/>
  <c r="I60" i="10"/>
  <c r="I59" i="10"/>
  <c r="K59" i="10" s="1"/>
  <c r="F59" i="10"/>
  <c r="K58" i="10"/>
  <c r="I58" i="10"/>
  <c r="F58" i="10"/>
  <c r="I57" i="10"/>
  <c r="K57" i="10" s="1"/>
  <c r="F57" i="10"/>
  <c r="I56" i="10"/>
  <c r="F56" i="10"/>
  <c r="I55" i="10"/>
  <c r="K55" i="10" s="1"/>
  <c r="F55" i="10"/>
  <c r="I54" i="10"/>
  <c r="K54" i="10" s="1"/>
  <c r="F54" i="10"/>
  <c r="I53" i="10"/>
  <c r="K53" i="10" s="1"/>
  <c r="F53" i="10"/>
  <c r="I52" i="10"/>
  <c r="F52" i="10"/>
  <c r="I51" i="10"/>
  <c r="K51" i="10" s="1"/>
  <c r="F51" i="10"/>
  <c r="I50" i="10"/>
  <c r="K50" i="10" s="1"/>
  <c r="F50" i="10"/>
  <c r="I49" i="10"/>
  <c r="F49" i="10"/>
  <c r="I48" i="10"/>
  <c r="F48" i="10"/>
  <c r="K47" i="10"/>
  <c r="I47" i="10"/>
  <c r="F47" i="10"/>
  <c r="I46" i="10"/>
  <c r="K46" i="10" s="1"/>
  <c r="F46" i="10"/>
  <c r="I45" i="10"/>
  <c r="K45" i="10" s="1"/>
  <c r="F45" i="10"/>
  <c r="I44" i="10"/>
  <c r="F44" i="10"/>
  <c r="I43" i="10"/>
  <c r="K43" i="10" s="1"/>
  <c r="F43" i="10"/>
  <c r="I42" i="10"/>
  <c r="K42" i="10" s="1"/>
  <c r="F42" i="10"/>
  <c r="I41" i="10"/>
  <c r="F41" i="10"/>
  <c r="I40" i="10"/>
  <c r="F40" i="10"/>
  <c r="K39" i="10"/>
  <c r="I39" i="10"/>
  <c r="F39" i="10"/>
  <c r="I38" i="10"/>
  <c r="K38" i="10" s="1"/>
  <c r="F38" i="10"/>
  <c r="I37" i="10"/>
  <c r="K37" i="10" s="1"/>
  <c r="F37" i="10"/>
  <c r="K36" i="10"/>
  <c r="I36" i="10"/>
  <c r="F36" i="10"/>
  <c r="I35" i="10"/>
  <c r="K35" i="10" s="1"/>
  <c r="F35" i="10"/>
  <c r="I34" i="10"/>
  <c r="K34" i="10" s="1"/>
  <c r="F34" i="10"/>
  <c r="I33" i="10"/>
  <c r="K33" i="10" s="1"/>
  <c r="F33" i="10"/>
  <c r="I32" i="10"/>
  <c r="K32" i="10" s="1"/>
  <c r="F32" i="10"/>
  <c r="K31" i="10"/>
  <c r="I31" i="10"/>
  <c r="F31" i="10"/>
  <c r="I30" i="10"/>
  <c r="K30" i="10" s="1"/>
  <c r="F30" i="10"/>
  <c r="I29" i="10"/>
  <c r="K29" i="10" s="1"/>
  <c r="F29" i="10"/>
  <c r="I28" i="10"/>
  <c r="K28" i="10" s="1"/>
  <c r="F28" i="10"/>
  <c r="I27" i="10"/>
  <c r="K27" i="10" s="1"/>
  <c r="F27" i="10"/>
  <c r="I26" i="10"/>
  <c r="F26" i="10"/>
  <c r="I25" i="10"/>
  <c r="F25" i="10"/>
  <c r="I24" i="10"/>
  <c r="F24" i="10"/>
  <c r="I23" i="10"/>
  <c r="K23" i="10" s="1"/>
  <c r="F23" i="10"/>
  <c r="I22" i="10"/>
  <c r="K22" i="10" s="1"/>
  <c r="F22" i="10"/>
  <c r="I21" i="10"/>
  <c r="K21" i="10" s="1"/>
  <c r="F21" i="10"/>
  <c r="I20" i="10"/>
  <c r="K20" i="10" s="1"/>
  <c r="F20" i="10"/>
  <c r="I19" i="10"/>
  <c r="K19" i="10" s="1"/>
  <c r="F19" i="10"/>
  <c r="F18" i="10"/>
  <c r="F17" i="10"/>
  <c r="F16" i="10"/>
  <c r="I15" i="10"/>
  <c r="F15" i="10"/>
  <c r="I14" i="10"/>
  <c r="F14" i="10"/>
  <c r="I13" i="10"/>
  <c r="F13" i="10"/>
  <c r="I12" i="10"/>
  <c r="F12" i="10"/>
  <c r="I11" i="10"/>
  <c r="F11" i="10"/>
  <c r="I10" i="10"/>
  <c r="F10" i="10"/>
  <c r="I9" i="10"/>
  <c r="F9" i="10"/>
  <c r="I8" i="10"/>
  <c r="F8" i="10"/>
  <c r="I7" i="10"/>
  <c r="F7" i="10"/>
  <c r="I6" i="10"/>
  <c r="F6" i="10"/>
  <c r="I5" i="10"/>
  <c r="F5" i="10"/>
  <c r="I4" i="10"/>
  <c r="C2" i="10"/>
  <c r="C57" i="10" s="1"/>
  <c r="N44" i="11"/>
  <c r="L40" i="11"/>
  <c r="L36" i="10"/>
  <c r="M77" i="10"/>
  <c r="M37" i="10"/>
  <c r="M39" i="11"/>
  <c r="M22" i="10"/>
  <c r="L31" i="10"/>
  <c r="L41" i="11"/>
  <c r="L33" i="10"/>
  <c r="M35" i="11"/>
  <c r="N34" i="11"/>
  <c r="K40" i="11"/>
  <c r="L37" i="11"/>
  <c r="L47" i="10"/>
  <c r="L32" i="10"/>
  <c r="M65" i="10"/>
  <c r="M41" i="11"/>
  <c r="K41" i="11"/>
  <c r="M31" i="10"/>
  <c r="N35" i="11"/>
  <c r="N19" i="10"/>
  <c r="M36" i="10"/>
  <c r="M73" i="10"/>
  <c r="L20" i="10"/>
  <c r="N36" i="11"/>
  <c r="K38" i="11"/>
  <c r="K39" i="11"/>
  <c r="K48" i="11"/>
  <c r="L39" i="10"/>
  <c r="K34" i="11"/>
  <c r="L38" i="11"/>
  <c r="M48" i="11"/>
  <c r="M69" i="10"/>
  <c r="M47" i="11"/>
  <c r="L42" i="11"/>
  <c r="N45" i="11"/>
  <c r="N42" i="11"/>
  <c r="L44" i="11"/>
  <c r="N39" i="11"/>
  <c r="K42" i="11"/>
  <c r="N43" i="11"/>
  <c r="M46" i="11"/>
  <c r="N47" i="11"/>
  <c r="M38" i="11"/>
  <c r="L39" i="11"/>
  <c r="L63" i="10"/>
  <c r="M45" i="10"/>
  <c r="M37" i="11"/>
  <c r="M43" i="11"/>
  <c r="M34" i="11"/>
  <c r="N46" i="11"/>
  <c r="N38" i="11"/>
  <c r="N37" i="11"/>
  <c r="L43" i="11"/>
  <c r="M42" i="11"/>
  <c r="K45" i="11"/>
  <c r="L35" i="11"/>
  <c r="K35" i="11"/>
  <c r="M57" i="10"/>
  <c r="O79" i="10"/>
  <c r="L36" i="11"/>
  <c r="O59" i="10"/>
  <c r="L37" i="10"/>
  <c r="L46" i="11"/>
  <c r="L34" i="11"/>
  <c r="K47" i="11"/>
  <c r="K36" i="11"/>
  <c r="L45" i="11"/>
  <c r="M45" i="11"/>
  <c r="K43" i="11"/>
  <c r="K37" i="11"/>
  <c r="L55" i="10"/>
  <c r="N40" i="11"/>
  <c r="L48" i="11"/>
  <c r="L47" i="11"/>
  <c r="K44" i="11"/>
  <c r="K46" i="11"/>
  <c r="L27" i="10"/>
  <c r="I34" i="11" l="1"/>
  <c r="I45" i="11"/>
  <c r="I36" i="11"/>
  <c r="I35" i="11"/>
  <c r="I39" i="11"/>
  <c r="I43" i="11"/>
  <c r="I40" i="11"/>
  <c r="I48" i="11"/>
  <c r="I41" i="11"/>
  <c r="I42" i="11"/>
  <c r="I47" i="11"/>
  <c r="I46" i="11"/>
  <c r="I44" i="11"/>
  <c r="I38" i="11"/>
  <c r="I37" i="11"/>
  <c r="C7" i="10"/>
  <c r="C33" i="10"/>
  <c r="C8" i="10"/>
  <c r="C9" i="10"/>
  <c r="C13" i="10"/>
  <c r="C6" i="10"/>
  <c r="C11" i="10"/>
  <c r="C52" i="10"/>
  <c r="C24" i="10"/>
  <c r="K25" i="10"/>
  <c r="C30" i="10"/>
  <c r="C62" i="10"/>
  <c r="C58" i="10"/>
  <c r="C54" i="10"/>
  <c r="C50" i="10"/>
  <c r="C46" i="10"/>
  <c r="C42" i="10"/>
  <c r="C63" i="10"/>
  <c r="C59" i="10"/>
  <c r="C55" i="10"/>
  <c r="C51" i="10"/>
  <c r="C47" i="10"/>
  <c r="C43" i="10"/>
  <c r="C35" i="10"/>
  <c r="C31" i="10"/>
  <c r="C27" i="10"/>
  <c r="C23" i="10"/>
  <c r="C64" i="10"/>
  <c r="C61" i="10"/>
  <c r="C56" i="10"/>
  <c r="C53" i="10"/>
  <c r="C65" i="10"/>
  <c r="C36" i="10"/>
  <c r="C26" i="10"/>
  <c r="C25" i="10"/>
  <c r="C20" i="10"/>
  <c r="C17" i="10"/>
  <c r="C5" i="10"/>
  <c r="C48" i="10"/>
  <c r="C44" i="10"/>
  <c r="C40" i="10"/>
  <c r="C39" i="10"/>
  <c r="C38" i="10"/>
  <c r="C37" i="10"/>
  <c r="C32" i="10"/>
  <c r="C22" i="10"/>
  <c r="C16" i="10"/>
  <c r="C14" i="10"/>
  <c r="C12" i="10"/>
  <c r="C10" i="10"/>
  <c r="C18" i="10"/>
  <c r="C19" i="10"/>
  <c r="C28" i="10"/>
  <c r="C34" i="10"/>
  <c r="C45" i="10"/>
  <c r="C49" i="10"/>
  <c r="K26" i="10"/>
  <c r="C15" i="10"/>
  <c r="C21" i="10"/>
  <c r="K24" i="10"/>
  <c r="C29" i="10"/>
  <c r="C41" i="10"/>
  <c r="C60" i="10"/>
  <c r="K56" i="10"/>
  <c r="K40" i="10"/>
  <c r="K41" i="10"/>
  <c r="K48" i="10"/>
  <c r="K49" i="10"/>
  <c r="K61" i="10"/>
  <c r="K44" i="10"/>
  <c r="K52" i="10"/>
  <c r="K60" i="10"/>
  <c r="K68" i="10"/>
  <c r="K72" i="10"/>
  <c r="K76" i="10"/>
  <c r="K80" i="10"/>
  <c r="K64" i="10"/>
  <c r="F6" i="3"/>
  <c r="L21" i="10"/>
  <c r="O63" i="10"/>
  <c r="L58" i="10"/>
  <c r="O74" i="10"/>
  <c r="M70" i="10"/>
  <c r="L71" i="10"/>
  <c r="O78" i="10"/>
  <c r="M29" i="10"/>
  <c r="M23" i="10"/>
  <c r="O75" i="10"/>
  <c r="M54" i="10"/>
  <c r="L35" i="10"/>
  <c r="L67" i="10"/>
  <c r="L45" i="10"/>
  <c r="M74" i="10"/>
  <c r="M34" i="10"/>
  <c r="M20" i="10"/>
  <c r="O77" i="10"/>
  <c r="O65" i="10"/>
  <c r="L66" i="10"/>
  <c r="O67" i="10"/>
  <c r="M47" i="10"/>
  <c r="O73" i="10"/>
  <c r="M46" i="10"/>
  <c r="L29" i="10"/>
  <c r="L59" i="10"/>
  <c r="L57" i="10"/>
  <c r="M19" i="10"/>
  <c r="L46" i="10"/>
  <c r="M67" i="10"/>
  <c r="M58" i="10"/>
  <c r="M28" i="10"/>
  <c r="M66" i="10"/>
  <c r="L62" i="10"/>
  <c r="L75" i="10"/>
  <c r="M27" i="10"/>
  <c r="M63" i="10"/>
  <c r="L73" i="10"/>
  <c r="M79" i="10"/>
  <c r="M53" i="10"/>
  <c r="L69" i="10"/>
  <c r="M50" i="10"/>
  <c r="M21" i="10"/>
  <c r="O66" i="10"/>
  <c r="M71" i="10"/>
  <c r="L34" i="10"/>
  <c r="M43" i="10"/>
  <c r="O71" i="10"/>
  <c r="N20" i="10"/>
  <c r="M59" i="10"/>
  <c r="L78" i="10"/>
  <c r="M35" i="10"/>
  <c r="M62" i="10"/>
  <c r="L28" i="10"/>
  <c r="O62" i="10"/>
  <c r="M38" i="10"/>
  <c r="L51" i="10"/>
  <c r="L22" i="10"/>
  <c r="L30" i="10"/>
  <c r="O70" i="10"/>
  <c r="L77" i="10"/>
  <c r="L65" i="10"/>
  <c r="M33" i="10"/>
  <c r="M51" i="10"/>
  <c r="M39" i="10"/>
  <c r="L74" i="10"/>
  <c r="L23" i="10"/>
  <c r="M55" i="10"/>
  <c r="M75" i="10"/>
  <c r="L42" i="10"/>
  <c r="N79" i="10"/>
  <c r="L38" i="10"/>
  <c r="O69" i="10"/>
  <c r="M30" i="10"/>
  <c r="L43" i="10"/>
  <c r="M78" i="10"/>
  <c r="M32" i="10"/>
  <c r="L19" i="10"/>
  <c r="L50" i="10"/>
  <c r="L54" i="10"/>
  <c r="L53" i="10"/>
  <c r="M42" i="10"/>
  <c r="L70" i="10"/>
  <c r="L79" i="10"/>
  <c r="K15" i="10" l="1"/>
  <c r="J79" i="10"/>
  <c r="K12" i="10"/>
  <c r="K4" i="10"/>
  <c r="K14" i="10"/>
  <c r="K6" i="10"/>
  <c r="K8" i="10"/>
  <c r="K10" i="10"/>
  <c r="K7" i="10"/>
  <c r="K13" i="10"/>
  <c r="K5" i="10"/>
  <c r="K11" i="10"/>
  <c r="K9" i="10"/>
  <c r="Z7" i="9"/>
  <c r="Z8" i="9"/>
  <c r="Z9" i="9"/>
  <c r="Z10" i="9"/>
  <c r="Z6" i="9"/>
  <c r="L52" i="10"/>
  <c r="N80" i="10"/>
  <c r="M68" i="10"/>
  <c r="M25" i="10"/>
  <c r="L68" i="10"/>
  <c r="M40" i="10"/>
  <c r="L15" i="10"/>
  <c r="M41" i="10"/>
  <c r="M80" i="10"/>
  <c r="M52" i="10"/>
  <c r="M24" i="10"/>
  <c r="O68" i="10"/>
  <c r="L25" i="10"/>
  <c r="L49" i="10"/>
  <c r="M61" i="10"/>
  <c r="M26" i="10"/>
  <c r="L56" i="10"/>
  <c r="O15" i="10"/>
  <c r="O61" i="10"/>
  <c r="L60" i="10"/>
  <c r="M56" i="10"/>
  <c r="L48" i="10"/>
  <c r="L24" i="10"/>
  <c r="L76" i="10"/>
  <c r="L26" i="10"/>
  <c r="L80" i="10"/>
  <c r="O64" i="10"/>
  <c r="L40" i="10"/>
  <c r="L72" i="10"/>
  <c r="O72" i="10"/>
  <c r="O60" i="10"/>
  <c r="M44" i="10"/>
  <c r="L64" i="10"/>
  <c r="M48" i="10"/>
  <c r="L44" i="10"/>
  <c r="L41" i="10"/>
  <c r="M76" i="10"/>
  <c r="O80" i="10"/>
  <c r="L61" i="10"/>
  <c r="M49" i="10"/>
  <c r="M60" i="10"/>
  <c r="O76" i="10"/>
  <c r="M64" i="10"/>
  <c r="M72" i="10"/>
  <c r="J80" i="10" l="1"/>
  <c r="AA11" i="9"/>
  <c r="AA12" i="9"/>
  <c r="AA13" i="9"/>
  <c r="AA14" i="9"/>
  <c r="AA15" i="9"/>
  <c r="AA16" i="9"/>
  <c r="AA17" i="9"/>
  <c r="X5" i="9"/>
  <c r="Y5" i="9"/>
  <c r="Z5" i="9"/>
  <c r="V5" i="9"/>
  <c r="W5" i="9"/>
  <c r="L7" i="9"/>
  <c r="L8" i="9"/>
  <c r="L9" i="9"/>
  <c r="L10" i="9"/>
  <c r="L6" i="9"/>
  <c r="T31" i="2"/>
  <c r="V7" i="9"/>
  <c r="V8" i="9"/>
  <c r="V9" i="9"/>
  <c r="V10" i="9"/>
  <c r="V11" i="9"/>
  <c r="V12" i="9"/>
  <c r="V13" i="9"/>
  <c r="V14" i="9"/>
  <c r="V15" i="9"/>
  <c r="V16" i="9"/>
  <c r="V17" i="9"/>
  <c r="V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6" i="9"/>
  <c r="M12" i="10"/>
  <c r="O8" i="10"/>
  <c r="N13" i="10"/>
  <c r="L10" i="10"/>
  <c r="M7" i="10"/>
  <c r="M15" i="10"/>
  <c r="L7" i="10"/>
  <c r="O11" i="10"/>
  <c r="O13" i="10"/>
  <c r="L11" i="10"/>
  <c r="L14" i="10"/>
  <c r="L9" i="10"/>
  <c r="M5" i="10"/>
  <c r="N7" i="10"/>
  <c r="M10" i="10"/>
  <c r="N5" i="10"/>
  <c r="M6" i="10"/>
  <c r="N10" i="10"/>
  <c r="M13" i="10"/>
  <c r="O9" i="10"/>
  <c r="L4" i="10"/>
  <c r="N12" i="10"/>
  <c r="N15" i="10"/>
  <c r="N6" i="10"/>
  <c r="O10" i="10"/>
  <c r="L6" i="10"/>
  <c r="N9" i="10"/>
  <c r="O7" i="10"/>
  <c r="L8" i="10"/>
  <c r="N11" i="10"/>
  <c r="N14" i="10"/>
  <c r="M4" i="10"/>
  <c r="O12" i="10"/>
  <c r="L5" i="10"/>
  <c r="M11" i="10"/>
  <c r="L13" i="10"/>
  <c r="O6" i="10"/>
  <c r="L12" i="10"/>
  <c r="N8" i="10"/>
  <c r="O14" i="10"/>
  <c r="M14" i="10"/>
  <c r="O5" i="10"/>
  <c r="M9" i="10"/>
  <c r="M8" i="10"/>
  <c r="J15" i="10" l="1"/>
  <c r="M6" i="9"/>
  <c r="J5" i="10"/>
  <c r="J7" i="10"/>
  <c r="J12" i="10"/>
  <c r="J8" i="10"/>
  <c r="J10" i="10"/>
  <c r="J14" i="10"/>
  <c r="J6" i="10"/>
  <c r="J9" i="10"/>
  <c r="J13" i="10"/>
  <c r="J11" i="10"/>
  <c r="AA6" i="9"/>
  <c r="H34" i="6"/>
  <c r="J34" i="6" s="1"/>
  <c r="H47" i="6" l="1"/>
  <c r="J47" i="6" s="1"/>
  <c r="H45" i="6"/>
  <c r="J45" i="6" s="1"/>
  <c r="H46" i="6"/>
  <c r="J46" i="6" s="1"/>
  <c r="H35" i="6"/>
  <c r="J35" i="6" s="1"/>
  <c r="H36" i="6"/>
  <c r="J36" i="6" s="1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J48" i="6"/>
  <c r="M40" i="6"/>
  <c r="L47" i="6"/>
  <c r="L46" i="6"/>
  <c r="K35" i="6"/>
  <c r="L41" i="6"/>
  <c r="K39" i="6"/>
  <c r="M44" i="6"/>
  <c r="K47" i="6"/>
  <c r="M46" i="6"/>
  <c r="K45" i="6"/>
  <c r="L44" i="6"/>
  <c r="M47" i="6"/>
  <c r="L40" i="6"/>
  <c r="K46" i="6"/>
  <c r="K42" i="6"/>
  <c r="K44" i="6"/>
  <c r="L45" i="6"/>
  <c r="K34" i="6"/>
  <c r="M43" i="6"/>
  <c r="M45" i="6"/>
  <c r="K48" i="6"/>
  <c r="K43" i="6"/>
  <c r="M15" i="2" l="1"/>
  <c r="M16" i="2"/>
  <c r="M17" i="2"/>
  <c r="M18" i="2"/>
  <c r="M19" i="2"/>
  <c r="M20" i="2"/>
  <c r="M42" i="6"/>
  <c r="M41" i="6"/>
  <c r="K40" i="6"/>
  <c r="L43" i="6"/>
  <c r="M39" i="6"/>
  <c r="L39" i="6"/>
  <c r="K41" i="6"/>
  <c r="L42" i="6"/>
  <c r="C14" i="2" l="1"/>
  <c r="C15" i="2" s="1"/>
  <c r="C16" i="2" s="1"/>
  <c r="C17" i="2" s="1"/>
  <c r="C18" i="2" s="1"/>
  <c r="C19" i="2" s="1"/>
  <c r="C20" i="2" s="1"/>
  <c r="T42" i="2"/>
  <c r="T41" i="2"/>
  <c r="T38" i="2"/>
  <c r="T37" i="2"/>
  <c r="T35" i="2"/>
  <c r="T34" i="2"/>
  <c r="T33" i="2"/>
  <c r="K18" i="6"/>
  <c r="K17" i="6"/>
  <c r="I17" i="6" s="1"/>
  <c r="K16" i="6"/>
  <c r="K15" i="6"/>
  <c r="I15" i="6" s="1"/>
  <c r="K14" i="6"/>
  <c r="K13" i="6"/>
  <c r="I13" i="6" s="1"/>
  <c r="K12" i="6"/>
  <c r="K11" i="6"/>
  <c r="I11" i="6" s="1"/>
  <c r="K10" i="6"/>
  <c r="K9" i="6"/>
  <c r="K8" i="6"/>
  <c r="K7" i="6"/>
  <c r="I7" i="6" s="1"/>
  <c r="J6" i="6"/>
  <c r="E6" i="6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V6" i="1"/>
  <c r="V7" i="1"/>
  <c r="V8" i="1"/>
  <c r="V9" i="1"/>
  <c r="V10" i="1"/>
  <c r="V11" i="1"/>
  <c r="V12" i="1"/>
  <c r="V13" i="1"/>
  <c r="V14" i="1"/>
  <c r="V15" i="1"/>
  <c r="V16" i="1"/>
  <c r="V17" i="1"/>
  <c r="D32" i="2"/>
  <c r="N35" i="6"/>
  <c r="N34" i="6"/>
  <c r="M37" i="6"/>
  <c r="M36" i="6"/>
  <c r="N38" i="6"/>
  <c r="N36" i="6"/>
  <c r="K9" i="2"/>
  <c r="N37" i="6"/>
  <c r="M38" i="6"/>
  <c r="N48" i="6"/>
  <c r="K10" i="2"/>
  <c r="M10" i="9" l="1"/>
  <c r="AA10" i="9" s="1"/>
  <c r="T40" i="2"/>
  <c r="M9" i="9"/>
  <c r="AA9" i="9" s="1"/>
  <c r="T39" i="2"/>
  <c r="M8" i="9"/>
  <c r="AA8" i="9" s="1"/>
  <c r="T36" i="2"/>
  <c r="M7" i="9"/>
  <c r="AA7" i="9" s="1"/>
  <c r="T32" i="2"/>
  <c r="I9" i="6"/>
  <c r="I10" i="6"/>
  <c r="I14" i="6"/>
  <c r="I18" i="6"/>
  <c r="I8" i="6"/>
  <c r="I12" i="6"/>
  <c r="I16" i="6"/>
  <c r="K6" i="6"/>
  <c r="M9" i="2"/>
  <c r="M10" i="2"/>
  <c r="I11" i="2"/>
  <c r="L15" i="2"/>
  <c r="L16" i="2"/>
  <c r="M34" i="6"/>
  <c r="N42" i="6"/>
  <c r="N41" i="6"/>
  <c r="M48" i="6"/>
  <c r="K36" i="6"/>
  <c r="K38" i="6"/>
  <c r="L35" i="6"/>
  <c r="L34" i="6"/>
  <c r="L48" i="6"/>
  <c r="N43" i="6"/>
  <c r="N45" i="6"/>
  <c r="N46" i="6"/>
  <c r="N44" i="6"/>
  <c r="N40" i="6"/>
  <c r="L36" i="6"/>
  <c r="N39" i="6"/>
  <c r="L38" i="6"/>
  <c r="K37" i="6"/>
  <c r="N47" i="6"/>
  <c r="M35" i="6"/>
  <c r="K11" i="2"/>
  <c r="L37" i="6"/>
  <c r="I42" i="6" l="1"/>
  <c r="G14" i="9" s="1"/>
  <c r="U14" i="9" s="1"/>
  <c r="I39" i="6"/>
  <c r="G11" i="9" s="1"/>
  <c r="U11" i="9" s="1"/>
  <c r="I45" i="6"/>
  <c r="G17" i="9" s="1"/>
  <c r="U17" i="9" s="1"/>
  <c r="I41" i="6"/>
  <c r="G13" i="9" s="1"/>
  <c r="U13" i="9" s="1"/>
  <c r="I43" i="6"/>
  <c r="G15" i="9" s="1"/>
  <c r="U15" i="9" s="1"/>
  <c r="I40" i="6"/>
  <c r="G12" i="9" s="1"/>
  <c r="U12" i="9" s="1"/>
  <c r="I44" i="6"/>
  <c r="G16" i="9" s="1"/>
  <c r="U16" i="9" s="1"/>
  <c r="I47" i="6"/>
  <c r="G19" i="9" s="1"/>
  <c r="U19" i="9" s="1"/>
  <c r="I46" i="6"/>
  <c r="G18" i="9" s="1"/>
  <c r="U18" i="9" s="1"/>
  <c r="I48" i="6"/>
  <c r="I38" i="6"/>
  <c r="G10" i="9" s="1"/>
  <c r="U10" i="9" s="1"/>
  <c r="I37" i="6"/>
  <c r="G9" i="9" s="1"/>
  <c r="U9" i="9" s="1"/>
  <c r="I34" i="6"/>
  <c r="G6" i="9" s="1"/>
  <c r="U6" i="9" s="1"/>
  <c r="I36" i="6"/>
  <c r="G8" i="9" s="1"/>
  <c r="U8" i="9" s="1"/>
  <c r="I35" i="6"/>
  <c r="G7" i="9" s="1"/>
  <c r="U7" i="9" s="1"/>
  <c r="L10" i="2"/>
  <c r="I12" i="2"/>
  <c r="F11" i="4"/>
  <c r="F5" i="4"/>
  <c r="K12" i="2"/>
  <c r="M11" i="2" l="1"/>
  <c r="L11" i="2"/>
  <c r="I13" i="2"/>
  <c r="U32" i="2"/>
  <c r="V32" i="2" s="1"/>
  <c r="U33" i="2"/>
  <c r="U34" i="2"/>
  <c r="V34" i="2" s="1"/>
  <c r="U35" i="2"/>
  <c r="V35" i="2" s="1"/>
  <c r="U36" i="2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31" i="2"/>
  <c r="V31" i="2" s="1"/>
  <c r="S31" i="2" s="1"/>
  <c r="W41" i="2"/>
  <c r="K13" i="2"/>
  <c r="W37" i="2" l="1"/>
  <c r="X37" i="2" s="1"/>
  <c r="W32" i="2"/>
  <c r="X32" i="2" s="1"/>
  <c r="W42" i="2"/>
  <c r="X42" i="2" s="1"/>
  <c r="W34" i="2"/>
  <c r="X34" i="2" s="1"/>
  <c r="M12" i="2"/>
  <c r="L12" i="2"/>
  <c r="W33" i="2"/>
  <c r="W39" i="2"/>
  <c r="X39" i="2" s="1"/>
  <c r="W38" i="2"/>
  <c r="X38" i="2" s="1"/>
  <c r="V33" i="2"/>
  <c r="S33" i="2" s="1"/>
  <c r="W35" i="2"/>
  <c r="X35" i="2" s="1"/>
  <c r="V36" i="2"/>
  <c r="S36" i="2" s="1"/>
  <c r="W36" i="2"/>
  <c r="I14" i="2"/>
  <c r="M13" i="2"/>
  <c r="S39" i="2"/>
  <c r="S35" i="2"/>
  <c r="S42" i="2"/>
  <c r="S38" i="2"/>
  <c r="S34" i="2"/>
  <c r="S41" i="2"/>
  <c r="S37" i="2"/>
  <c r="S40" i="2"/>
  <c r="S32" i="2"/>
  <c r="X41" i="2"/>
  <c r="W40" i="2"/>
  <c r="X40" i="2" s="1"/>
  <c r="W31" i="2"/>
  <c r="K14" i="2"/>
  <c r="Y42" i="2" l="1"/>
  <c r="Y41" i="2"/>
  <c r="Y37" i="2"/>
  <c r="Y32" i="2"/>
  <c r="Y34" i="2"/>
  <c r="Y39" i="2"/>
  <c r="X36" i="2"/>
  <c r="Y38" i="2"/>
  <c r="X33" i="2"/>
  <c r="Y35" i="2"/>
  <c r="I15" i="2"/>
  <c r="X31" i="2"/>
  <c r="S43" i="2"/>
  <c r="Y40" i="2"/>
  <c r="H34" i="2"/>
  <c r="H35" i="2"/>
  <c r="H36" i="2"/>
  <c r="H37" i="2"/>
  <c r="H38" i="2"/>
  <c r="H39" i="2"/>
  <c r="H40" i="2"/>
  <c r="H41" i="2"/>
  <c r="H42" i="2"/>
  <c r="H43" i="2"/>
  <c r="H32" i="2"/>
  <c r="H33" i="2"/>
  <c r="K15" i="2"/>
  <c r="Y36" i="2" l="1"/>
  <c r="Z41" i="2"/>
  <c r="AC41" i="2" s="1"/>
  <c r="AB41" i="2"/>
  <c r="Y33" i="2"/>
  <c r="Z37" i="2"/>
  <c r="AC37" i="2" s="1"/>
  <c r="AB37" i="2"/>
  <c r="Z38" i="2"/>
  <c r="AC38" i="2" s="1"/>
  <c r="AB38" i="2"/>
  <c r="Z39" i="2"/>
  <c r="AB39" i="2"/>
  <c r="Z34" i="2"/>
  <c r="AC34" i="2" s="1"/>
  <c r="AB34" i="2"/>
  <c r="Z42" i="2"/>
  <c r="AC42" i="2" s="1"/>
  <c r="AB42" i="2"/>
  <c r="Z40" i="2"/>
  <c r="AB40" i="2"/>
  <c r="Z35" i="2"/>
  <c r="AC35" i="2" s="1"/>
  <c r="AB35" i="2"/>
  <c r="Z32" i="2"/>
  <c r="AC32" i="2" s="1"/>
  <c r="AB32" i="2"/>
  <c r="M14" i="2"/>
  <c r="L14" i="2"/>
  <c r="I16" i="2"/>
  <c r="Y31" i="2"/>
  <c r="G6" i="8"/>
  <c r="I20" i="3"/>
  <c r="K20" i="3" s="1"/>
  <c r="I21" i="3"/>
  <c r="I22" i="3"/>
  <c r="I23" i="3"/>
  <c r="K23" i="3" s="1"/>
  <c r="I24" i="3"/>
  <c r="K24" i="3" s="1"/>
  <c r="I25" i="3"/>
  <c r="I26" i="3"/>
  <c r="I27" i="3"/>
  <c r="K27" i="3" s="1"/>
  <c r="I28" i="3"/>
  <c r="K28" i="3" s="1"/>
  <c r="I29" i="3"/>
  <c r="I30" i="3"/>
  <c r="I31" i="3"/>
  <c r="K31" i="3" s="1"/>
  <c r="I32" i="3"/>
  <c r="K32" i="3" s="1"/>
  <c r="I33" i="3"/>
  <c r="I34" i="3"/>
  <c r="I35" i="3"/>
  <c r="K35" i="3" s="1"/>
  <c r="I36" i="3"/>
  <c r="K36" i="3" s="1"/>
  <c r="I37" i="3"/>
  <c r="I38" i="3"/>
  <c r="I39" i="3"/>
  <c r="K39" i="3" s="1"/>
  <c r="I40" i="3"/>
  <c r="K40" i="3" s="1"/>
  <c r="I41" i="3"/>
  <c r="I42" i="3"/>
  <c r="I43" i="3"/>
  <c r="K43" i="3" s="1"/>
  <c r="I44" i="3"/>
  <c r="K44" i="3" s="1"/>
  <c r="I45" i="3"/>
  <c r="I46" i="3"/>
  <c r="I47" i="3"/>
  <c r="K47" i="3" s="1"/>
  <c r="I48" i="3"/>
  <c r="K48" i="3" s="1"/>
  <c r="I49" i="3"/>
  <c r="I50" i="3"/>
  <c r="I51" i="3"/>
  <c r="K51" i="3" s="1"/>
  <c r="I52" i="3"/>
  <c r="K52" i="3" s="1"/>
  <c r="I53" i="3"/>
  <c r="I54" i="3"/>
  <c r="I55" i="3"/>
  <c r="K55" i="3" s="1"/>
  <c r="I56" i="3"/>
  <c r="K56" i="3" s="1"/>
  <c r="I57" i="3"/>
  <c r="I58" i="3"/>
  <c r="K58" i="3" s="1"/>
  <c r="I59" i="3"/>
  <c r="K59" i="3" s="1"/>
  <c r="I60" i="3"/>
  <c r="K60" i="3" s="1"/>
  <c r="I61" i="3"/>
  <c r="K61" i="3" s="1"/>
  <c r="I62" i="3"/>
  <c r="K62" i="3" s="1"/>
  <c r="I63" i="3"/>
  <c r="K63" i="3" s="1"/>
  <c r="I64" i="3"/>
  <c r="K64" i="3" s="1"/>
  <c r="I65" i="3"/>
  <c r="I66" i="3"/>
  <c r="K66" i="3" s="1"/>
  <c r="I67" i="3"/>
  <c r="K67" i="3" s="1"/>
  <c r="I68" i="3"/>
  <c r="K68" i="3" s="1"/>
  <c r="I69" i="3"/>
  <c r="K69" i="3" s="1"/>
  <c r="I70" i="3"/>
  <c r="K70" i="3" s="1"/>
  <c r="I71" i="3"/>
  <c r="K71" i="3" s="1"/>
  <c r="I72" i="3"/>
  <c r="K72" i="3" s="1"/>
  <c r="I73" i="3"/>
  <c r="I74" i="3"/>
  <c r="K74" i="3" s="1"/>
  <c r="I75" i="3"/>
  <c r="K75" i="3" s="1"/>
  <c r="I76" i="3"/>
  <c r="K76" i="3" s="1"/>
  <c r="I77" i="3"/>
  <c r="K77" i="3" s="1"/>
  <c r="I78" i="3"/>
  <c r="K78" i="3" s="1"/>
  <c r="I79" i="3"/>
  <c r="K79" i="3" s="1"/>
  <c r="I80" i="3"/>
  <c r="I19" i="3"/>
  <c r="K19" i="3" s="1"/>
  <c r="I4" i="3"/>
  <c r="L61" i="3"/>
  <c r="L56" i="3"/>
  <c r="M58" i="3"/>
  <c r="M66" i="3"/>
  <c r="K16" i="2"/>
  <c r="L76" i="3"/>
  <c r="L32" i="3"/>
  <c r="M68" i="3"/>
  <c r="O69" i="3"/>
  <c r="L71" i="3"/>
  <c r="M77" i="3"/>
  <c r="L48" i="3"/>
  <c r="O61" i="3"/>
  <c r="L24" i="3"/>
  <c r="L40" i="3"/>
  <c r="O78" i="3"/>
  <c r="L63" i="3"/>
  <c r="P38" i="2" l="1"/>
  <c r="AA38" i="2" s="1"/>
  <c r="P34" i="2"/>
  <c r="AA34" i="2" s="1"/>
  <c r="P42" i="2"/>
  <c r="AA42" i="2" s="1"/>
  <c r="P41" i="2"/>
  <c r="AA41" i="2" s="1"/>
  <c r="AC40" i="2"/>
  <c r="Q40" i="2" s="1"/>
  <c r="P40" i="2"/>
  <c r="AA40" i="2" s="1"/>
  <c r="AC39" i="2"/>
  <c r="Q39" i="2" s="1"/>
  <c r="P39" i="2"/>
  <c r="AA39" i="2" s="1"/>
  <c r="P37" i="2"/>
  <c r="AA37" i="2" s="1"/>
  <c r="P35" i="2"/>
  <c r="AA35" i="2" s="1"/>
  <c r="Q42" i="2"/>
  <c r="Q37" i="2"/>
  <c r="Q34" i="2"/>
  <c r="Q38" i="2"/>
  <c r="Z33" i="2"/>
  <c r="AC33" i="2" s="1"/>
  <c r="AB33" i="2"/>
  <c r="Q35" i="2"/>
  <c r="Q41" i="2"/>
  <c r="Z36" i="2"/>
  <c r="AB36" i="2"/>
  <c r="P32" i="2"/>
  <c r="AA32" i="2" s="1"/>
  <c r="Q32" i="2"/>
  <c r="Z31" i="2"/>
  <c r="AC31" i="2" s="1"/>
  <c r="AB31" i="2"/>
  <c r="I17" i="2"/>
  <c r="G8" i="8"/>
  <c r="G10" i="8" s="1"/>
  <c r="G11" i="8" s="1"/>
  <c r="G15" i="8" s="1"/>
  <c r="G19" i="8"/>
  <c r="K73" i="3"/>
  <c r="K54" i="3"/>
  <c r="K50" i="3"/>
  <c r="K46" i="3"/>
  <c r="K42" i="3"/>
  <c r="K38" i="3"/>
  <c r="K34" i="3"/>
  <c r="K30" i="3"/>
  <c r="K26" i="3"/>
  <c r="K80" i="3"/>
  <c r="K65" i="3"/>
  <c r="K22" i="3"/>
  <c r="K57" i="3"/>
  <c r="K53" i="3"/>
  <c r="K49" i="3"/>
  <c r="K45" i="3"/>
  <c r="K41" i="3"/>
  <c r="K37" i="3"/>
  <c r="K33" i="3"/>
  <c r="K29" i="3"/>
  <c r="K25" i="3"/>
  <c r="K21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M48" i="3"/>
  <c r="L67" i="3"/>
  <c r="O75" i="3"/>
  <c r="L55" i="3"/>
  <c r="M71" i="3"/>
  <c r="M35" i="3"/>
  <c r="L28" i="3"/>
  <c r="O68" i="3"/>
  <c r="L75" i="3"/>
  <c r="M31" i="3"/>
  <c r="M36" i="3"/>
  <c r="L60" i="3"/>
  <c r="O66" i="3"/>
  <c r="L52" i="3"/>
  <c r="M27" i="3"/>
  <c r="M67" i="3"/>
  <c r="M76" i="3"/>
  <c r="L70" i="3"/>
  <c r="M62" i="3"/>
  <c r="O70" i="3"/>
  <c r="L58" i="3"/>
  <c r="L23" i="3"/>
  <c r="L35" i="3"/>
  <c r="M56" i="3"/>
  <c r="M43" i="3"/>
  <c r="L68" i="3"/>
  <c r="L43" i="3"/>
  <c r="M52" i="3"/>
  <c r="M20" i="3"/>
  <c r="M75" i="3"/>
  <c r="O67" i="3"/>
  <c r="K17" i="2"/>
  <c r="L59" i="3"/>
  <c r="L39" i="3"/>
  <c r="L62" i="3"/>
  <c r="L79" i="3"/>
  <c r="M23" i="3"/>
  <c r="M60" i="3"/>
  <c r="L31" i="3"/>
  <c r="M64" i="3"/>
  <c r="M55" i="3"/>
  <c r="L77" i="3"/>
  <c r="L44" i="3"/>
  <c r="O62" i="3"/>
  <c r="O71" i="3"/>
  <c r="L19" i="3"/>
  <c r="M70" i="3"/>
  <c r="M44" i="3"/>
  <c r="O76" i="3"/>
  <c r="M51" i="3"/>
  <c r="L74" i="3"/>
  <c r="M79" i="3"/>
  <c r="L47" i="3"/>
  <c r="M32" i="3"/>
  <c r="O64" i="3"/>
  <c r="L27" i="3"/>
  <c r="O79" i="3"/>
  <c r="M74" i="3"/>
  <c r="M69" i="3"/>
  <c r="M59" i="3"/>
  <c r="O72" i="3"/>
  <c r="O59" i="3"/>
  <c r="L69" i="3"/>
  <c r="N79" i="3"/>
  <c r="M78" i="3"/>
  <c r="M61" i="3"/>
  <c r="M72" i="3"/>
  <c r="L36" i="3"/>
  <c r="M63" i="3"/>
  <c r="M24" i="3"/>
  <c r="L78" i="3"/>
  <c r="M47" i="3"/>
  <c r="O77" i="3"/>
  <c r="M39" i="3"/>
  <c r="N20" i="3"/>
  <c r="M28" i="3"/>
  <c r="L51" i="3"/>
  <c r="L64" i="3"/>
  <c r="O63" i="3"/>
  <c r="M40" i="3"/>
  <c r="O60" i="3"/>
  <c r="L20" i="3"/>
  <c r="N19" i="3"/>
  <c r="O74" i="3"/>
  <c r="L72" i="3"/>
  <c r="L66" i="3"/>
  <c r="M19" i="3"/>
  <c r="P31" i="2" l="1"/>
  <c r="AA31" i="2" s="1"/>
  <c r="AC36" i="2"/>
  <c r="Q36" i="2" s="1"/>
  <c r="P36" i="2"/>
  <c r="AA36" i="2" s="1"/>
  <c r="P33" i="2"/>
  <c r="AA33" i="2" s="1"/>
  <c r="Q33" i="2"/>
  <c r="T43" i="2"/>
  <c r="F15" i="4" s="1"/>
  <c r="Q31" i="2"/>
  <c r="I18" i="2"/>
  <c r="G9" i="8"/>
  <c r="G16" i="8" s="1"/>
  <c r="G12" i="8"/>
  <c r="G13" i="8" s="1"/>
  <c r="J79" i="3"/>
  <c r="L30" i="2"/>
  <c r="D33" i="2"/>
  <c r="D34" i="2"/>
  <c r="D35" i="2"/>
  <c r="D36" i="2"/>
  <c r="D37" i="2"/>
  <c r="D38" i="2"/>
  <c r="D39" i="2"/>
  <c r="D40" i="2"/>
  <c r="D41" i="2"/>
  <c r="D42" i="2"/>
  <c r="D43" i="2"/>
  <c r="F30" i="6"/>
  <c r="F29" i="6"/>
  <c r="F28" i="6"/>
  <c r="F27" i="6"/>
  <c r="F26" i="6"/>
  <c r="F25" i="6"/>
  <c r="F24" i="6"/>
  <c r="F23" i="6"/>
  <c r="F22" i="6"/>
  <c r="F21" i="6"/>
  <c r="T20" i="10" s="1"/>
  <c r="U20" i="10" s="1"/>
  <c r="V20" i="10" s="1"/>
  <c r="F20" i="6"/>
  <c r="F19" i="6"/>
  <c r="T18" i="10" s="1"/>
  <c r="U18" i="10" s="1"/>
  <c r="V18" i="10" s="1"/>
  <c r="F18" i="6"/>
  <c r="F17" i="6"/>
  <c r="T16" i="10" s="1"/>
  <c r="U16" i="10" s="1"/>
  <c r="V16" i="10" s="1"/>
  <c r="F16" i="6"/>
  <c r="F15" i="6"/>
  <c r="T14" i="10" s="1"/>
  <c r="U14" i="10" s="1"/>
  <c r="V14" i="10" s="1"/>
  <c r="F14" i="6"/>
  <c r="F13" i="6"/>
  <c r="T12" i="10" s="1"/>
  <c r="U12" i="10" s="1"/>
  <c r="V12" i="10" s="1"/>
  <c r="F12" i="6"/>
  <c r="F11" i="6"/>
  <c r="T10" i="10" s="1"/>
  <c r="U10" i="10" s="1"/>
  <c r="V10" i="10" s="1"/>
  <c r="F10" i="6"/>
  <c r="F9" i="6"/>
  <c r="T8" i="10" s="1"/>
  <c r="U8" i="10" s="1"/>
  <c r="V8" i="10" s="1"/>
  <c r="F8" i="6"/>
  <c r="F7" i="6"/>
  <c r="T6" i="10" s="1"/>
  <c r="U6" i="10" s="1"/>
  <c r="V6" i="10" s="1"/>
  <c r="F6" i="6"/>
  <c r="M26" i="3"/>
  <c r="L38" i="3"/>
  <c r="L29" i="3"/>
  <c r="M29" i="3"/>
  <c r="O44" i="10"/>
  <c r="L22" i="3"/>
  <c r="L41" i="3"/>
  <c r="M25" i="3"/>
  <c r="L80" i="3"/>
  <c r="L26" i="3"/>
  <c r="L25" i="3"/>
  <c r="O20" i="10"/>
  <c r="O50" i="10"/>
  <c r="N41" i="10"/>
  <c r="E16" i="2"/>
  <c r="M49" i="3"/>
  <c r="O80" i="3"/>
  <c r="M42" i="3"/>
  <c r="O49" i="10"/>
  <c r="N43" i="10"/>
  <c r="M50" i="3"/>
  <c r="K18" i="2"/>
  <c r="O55" i="10"/>
  <c r="E10" i="2"/>
  <c r="L37" i="3"/>
  <c r="E13" i="2"/>
  <c r="N38" i="10"/>
  <c r="M80" i="3"/>
  <c r="E15" i="2"/>
  <c r="L46" i="3"/>
  <c r="L65" i="3"/>
  <c r="M21" i="3"/>
  <c r="N80" i="3"/>
  <c r="N47" i="10"/>
  <c r="M30" i="3"/>
  <c r="L57" i="3"/>
  <c r="E17" i="2"/>
  <c r="N31" i="10"/>
  <c r="M41" i="3"/>
  <c r="O40" i="10"/>
  <c r="N42" i="10"/>
  <c r="L21" i="3"/>
  <c r="L54" i="3"/>
  <c r="M73" i="3"/>
  <c r="M46" i="3"/>
  <c r="N48" i="10"/>
  <c r="N22" i="10"/>
  <c r="O19" i="10"/>
  <c r="E14" i="2"/>
  <c r="N52" i="10"/>
  <c r="O29" i="10"/>
  <c r="L33" i="3"/>
  <c r="O24" i="10"/>
  <c r="N56" i="10"/>
  <c r="N21" i="10"/>
  <c r="L34" i="3"/>
  <c r="N57" i="10"/>
  <c r="N32" i="10"/>
  <c r="N58" i="10"/>
  <c r="E9" i="2"/>
  <c r="L30" i="3"/>
  <c r="M22" i="3"/>
  <c r="O30" i="10"/>
  <c r="N37" i="10"/>
  <c r="N53" i="10"/>
  <c r="O65" i="3"/>
  <c r="L73" i="3"/>
  <c r="N27" i="10"/>
  <c r="E12" i="2"/>
  <c r="O25" i="10"/>
  <c r="M33" i="3"/>
  <c r="O73" i="3"/>
  <c r="E18" i="2"/>
  <c r="O54" i="10"/>
  <c r="M57" i="3"/>
  <c r="M37" i="3"/>
  <c r="M54" i="3"/>
  <c r="M38" i="3"/>
  <c r="N33" i="10"/>
  <c r="O34" i="10"/>
  <c r="N36" i="10"/>
  <c r="N28" i="10"/>
  <c r="N26" i="10"/>
  <c r="L53" i="3"/>
  <c r="M53" i="3"/>
  <c r="M45" i="3"/>
  <c r="M34" i="3"/>
  <c r="N46" i="10"/>
  <c r="N51" i="10"/>
  <c r="N23" i="10"/>
  <c r="O45" i="10"/>
  <c r="O35" i="10"/>
  <c r="O39" i="10"/>
  <c r="L50" i="3"/>
  <c r="M65" i="3"/>
  <c r="E11" i="2"/>
  <c r="L42" i="3"/>
  <c r="L49" i="3"/>
  <c r="L45" i="3"/>
  <c r="T19" i="10" l="1"/>
  <c r="U19" i="10" s="1"/>
  <c r="V19" i="10" s="1"/>
  <c r="T7" i="10"/>
  <c r="U7" i="10" s="1"/>
  <c r="V7" i="10" s="1"/>
  <c r="G9" i="2"/>
  <c r="T13" i="10"/>
  <c r="U13" i="10" s="1"/>
  <c r="V13" i="10" s="1"/>
  <c r="J20" i="10"/>
  <c r="G7" i="10" s="1"/>
  <c r="J19" i="10"/>
  <c r="G6" i="10" s="1"/>
  <c r="D11" i="9"/>
  <c r="Q11" i="9" s="1"/>
  <c r="T11" i="10"/>
  <c r="U11" i="10" s="1"/>
  <c r="V11" i="10" s="1"/>
  <c r="D15" i="9"/>
  <c r="Q15" i="9" s="1"/>
  <c r="T15" i="10"/>
  <c r="U15" i="10" s="1"/>
  <c r="V15" i="10" s="1"/>
  <c r="D9" i="9"/>
  <c r="Q9" i="9" s="1"/>
  <c r="T9" i="10"/>
  <c r="U9" i="10" s="1"/>
  <c r="V9" i="10" s="1"/>
  <c r="D17" i="9"/>
  <c r="Q17" i="9" s="1"/>
  <c r="T17" i="10"/>
  <c r="U17" i="10" s="1"/>
  <c r="V17" i="10" s="1"/>
  <c r="D21" i="9"/>
  <c r="Q23" i="9" s="1"/>
  <c r="T21" i="10"/>
  <c r="U21" i="10" s="1"/>
  <c r="V21" i="10" s="1"/>
  <c r="F14" i="4"/>
  <c r="G12" i="2"/>
  <c r="D13" i="9"/>
  <c r="Q13" i="9" s="1"/>
  <c r="D7" i="9"/>
  <c r="Q7" i="9" s="1"/>
  <c r="G15" i="2"/>
  <c r="D19" i="9"/>
  <c r="Q19" i="9" s="1"/>
  <c r="T8" i="3"/>
  <c r="U8" i="3" s="1"/>
  <c r="V8" i="3" s="1"/>
  <c r="D8" i="9"/>
  <c r="Q8" i="9" s="1"/>
  <c r="T12" i="3"/>
  <c r="U12" i="3" s="1"/>
  <c r="V12" i="3" s="1"/>
  <c r="D12" i="9"/>
  <c r="Q12" i="9" s="1"/>
  <c r="T16" i="3"/>
  <c r="U16" i="3" s="1"/>
  <c r="V16" i="3" s="1"/>
  <c r="D16" i="9"/>
  <c r="Q16" i="9" s="1"/>
  <c r="T20" i="3"/>
  <c r="U20" i="3" s="1"/>
  <c r="V20" i="3" s="1"/>
  <c r="D20" i="9"/>
  <c r="T6" i="3"/>
  <c r="U6" i="3" s="1"/>
  <c r="V6" i="3" s="1"/>
  <c r="D6" i="9"/>
  <c r="Q6" i="9" s="1"/>
  <c r="T10" i="3"/>
  <c r="U10" i="3" s="1"/>
  <c r="V10" i="3" s="1"/>
  <c r="D10" i="9"/>
  <c r="Q10" i="9" s="1"/>
  <c r="T14" i="3"/>
  <c r="U14" i="3" s="1"/>
  <c r="V14" i="3" s="1"/>
  <c r="D14" i="9"/>
  <c r="Q14" i="9" s="1"/>
  <c r="T18" i="3"/>
  <c r="U18" i="3" s="1"/>
  <c r="V18" i="3" s="1"/>
  <c r="D18" i="9"/>
  <c r="Q18" i="9" s="1"/>
  <c r="I19" i="2"/>
  <c r="T21" i="3"/>
  <c r="U21" i="3" s="1"/>
  <c r="V21" i="3" s="1"/>
  <c r="G16" i="2"/>
  <c r="G20" i="2"/>
  <c r="T7" i="3"/>
  <c r="U7" i="3" s="1"/>
  <c r="V7" i="3" s="1"/>
  <c r="T11" i="3"/>
  <c r="U11" i="3" s="1"/>
  <c r="V11" i="3" s="1"/>
  <c r="T15" i="3"/>
  <c r="U15" i="3" s="1"/>
  <c r="V15" i="3" s="1"/>
  <c r="G19" i="2"/>
  <c r="T9" i="3"/>
  <c r="U9" i="3" s="1"/>
  <c r="V9" i="3" s="1"/>
  <c r="T13" i="3"/>
  <c r="U13" i="3" s="1"/>
  <c r="V13" i="3" s="1"/>
  <c r="T17" i="3"/>
  <c r="U17" i="3" s="1"/>
  <c r="V17" i="3" s="1"/>
  <c r="T19" i="3"/>
  <c r="U19" i="3" s="1"/>
  <c r="V19" i="3" s="1"/>
  <c r="G18" i="2"/>
  <c r="G14" i="2"/>
  <c r="G10" i="2"/>
  <c r="G17" i="2"/>
  <c r="G13" i="2"/>
  <c r="L20" i="2"/>
  <c r="L19" i="2"/>
  <c r="L17" i="2"/>
  <c r="L18" i="2"/>
  <c r="L13" i="2"/>
  <c r="J80" i="3"/>
  <c r="I9" i="3"/>
  <c r="C2" i="3"/>
  <c r="I8" i="3"/>
  <c r="I7" i="3"/>
  <c r="I6" i="3"/>
  <c r="I5" i="3"/>
  <c r="I10" i="3"/>
  <c r="I11" i="3"/>
  <c r="I12" i="3"/>
  <c r="I13" i="3"/>
  <c r="I14" i="3"/>
  <c r="I15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5" i="3"/>
  <c r="F6" i="1"/>
  <c r="N40" i="10"/>
  <c r="N55" i="10"/>
  <c r="O51" i="10"/>
  <c r="O53" i="10"/>
  <c r="O23" i="10"/>
  <c r="O21" i="10"/>
  <c r="N39" i="10"/>
  <c r="O36" i="10"/>
  <c r="N25" i="10"/>
  <c r="O52" i="10"/>
  <c r="N24" i="10"/>
  <c r="N54" i="10"/>
  <c r="O37" i="10"/>
  <c r="E19" i="2"/>
  <c r="O38" i="10"/>
  <c r="O22" i="10"/>
  <c r="K19" i="2"/>
  <c r="J24" i="10" l="1"/>
  <c r="G11" i="10" s="1"/>
  <c r="H51" i="10" s="1"/>
  <c r="J23" i="10"/>
  <c r="G10" i="10" s="1"/>
  <c r="H10" i="10" s="1"/>
  <c r="J21" i="10"/>
  <c r="G8" i="10" s="1"/>
  <c r="H8" i="10" s="1"/>
  <c r="J22" i="10"/>
  <c r="G9" i="10" s="1"/>
  <c r="H9" i="10" s="1"/>
  <c r="J25" i="10"/>
  <c r="G12" i="10" s="1"/>
  <c r="H12" i="10" s="1"/>
  <c r="J39" i="10"/>
  <c r="G26" i="10" s="1"/>
  <c r="H26" i="10" s="1"/>
  <c r="J40" i="10"/>
  <c r="G27" i="10" s="1"/>
  <c r="H27" i="10" s="1"/>
  <c r="J38" i="10"/>
  <c r="G25" i="10" s="1"/>
  <c r="H65" i="10" s="1"/>
  <c r="J36" i="10"/>
  <c r="G23" i="10" s="1"/>
  <c r="H23" i="10" s="1"/>
  <c r="J37" i="10"/>
  <c r="G24" i="10" s="1"/>
  <c r="H24" i="10" s="1"/>
  <c r="J53" i="10"/>
  <c r="G40" i="10" s="1"/>
  <c r="H40" i="10" s="1"/>
  <c r="J52" i="10"/>
  <c r="G39" i="10" s="1"/>
  <c r="H39" i="10" s="1"/>
  <c r="J51" i="10"/>
  <c r="G38" i="10" s="1"/>
  <c r="H38" i="10" s="1"/>
  <c r="J55" i="10"/>
  <c r="G42" i="10" s="1"/>
  <c r="H42" i="10" s="1"/>
  <c r="J54" i="10"/>
  <c r="G41" i="10" s="1"/>
  <c r="H41" i="10" s="1"/>
  <c r="Q21" i="9"/>
  <c r="F20" i="2"/>
  <c r="F18" i="2"/>
  <c r="H46" i="10"/>
  <c r="H6" i="10"/>
  <c r="H47" i="10"/>
  <c r="H7" i="10"/>
  <c r="F17" i="2"/>
  <c r="F19" i="2"/>
  <c r="F12" i="2"/>
  <c r="Q20" i="9"/>
  <c r="Q22" i="9"/>
  <c r="F16" i="2"/>
  <c r="F13" i="2"/>
  <c r="F15" i="2"/>
  <c r="F14" i="2"/>
  <c r="I20" i="2"/>
  <c r="F11" i="2"/>
  <c r="G11" i="2"/>
  <c r="F10" i="2"/>
  <c r="C21" i="3"/>
  <c r="C25" i="3"/>
  <c r="C29" i="3"/>
  <c r="C33" i="3"/>
  <c r="C37" i="3"/>
  <c r="C41" i="3"/>
  <c r="C45" i="3"/>
  <c r="C49" i="3"/>
  <c r="C53" i="3"/>
  <c r="C57" i="3"/>
  <c r="C61" i="3"/>
  <c r="C65" i="3"/>
  <c r="C9" i="3"/>
  <c r="C13" i="3"/>
  <c r="C17" i="3"/>
  <c r="C27" i="3"/>
  <c r="C31" i="3"/>
  <c r="C39" i="3"/>
  <c r="C47" i="3"/>
  <c r="C59" i="3"/>
  <c r="C7" i="3"/>
  <c r="C15" i="3"/>
  <c r="C19" i="3"/>
  <c r="C20" i="3"/>
  <c r="C32" i="3"/>
  <c r="C40" i="3"/>
  <c r="C48" i="3"/>
  <c r="C56" i="3"/>
  <c r="C64" i="3"/>
  <c r="C12" i="3"/>
  <c r="C5" i="3"/>
  <c r="C22" i="3"/>
  <c r="C26" i="3"/>
  <c r="C30" i="3"/>
  <c r="C34" i="3"/>
  <c r="C38" i="3"/>
  <c r="C42" i="3"/>
  <c r="C46" i="3"/>
  <c r="C50" i="3"/>
  <c r="C54" i="3"/>
  <c r="C58" i="3"/>
  <c r="C62" i="3"/>
  <c r="C6" i="3"/>
  <c r="C10" i="3"/>
  <c r="C14" i="3"/>
  <c r="C18" i="3"/>
  <c r="C23" i="3"/>
  <c r="C35" i="3"/>
  <c r="C43" i="3"/>
  <c r="C51" i="3"/>
  <c r="C55" i="3"/>
  <c r="C63" i="3"/>
  <c r="C11" i="3"/>
  <c r="C24" i="3"/>
  <c r="C28" i="3"/>
  <c r="C36" i="3"/>
  <c r="C44" i="3"/>
  <c r="C52" i="3"/>
  <c r="C60" i="3"/>
  <c r="C8" i="3"/>
  <c r="C16" i="3"/>
  <c r="K25" i="2"/>
  <c r="K26" i="2" s="1"/>
  <c r="K24" i="2"/>
  <c r="L25" i="2"/>
  <c r="L26" i="2" s="1"/>
  <c r="L24" i="2"/>
  <c r="E20" i="2"/>
  <c r="K20" i="2"/>
  <c r="H64" i="10" l="1"/>
  <c r="H48" i="10"/>
  <c r="H50" i="10"/>
  <c r="H63" i="10"/>
  <c r="H11" i="10"/>
  <c r="H49" i="10"/>
  <c r="H52" i="10"/>
  <c r="H25" i="10"/>
  <c r="K4" i="3"/>
  <c r="L22" i="2"/>
  <c r="F9" i="4" s="1"/>
  <c r="L23" i="2"/>
  <c r="F10" i="4" s="1"/>
  <c r="K14" i="3"/>
  <c r="E24" i="2"/>
  <c r="F25" i="2"/>
  <c r="F26" i="2" s="1"/>
  <c r="F24" i="2"/>
  <c r="E25" i="2"/>
  <c r="E26" i="2" s="1"/>
  <c r="K11" i="3"/>
  <c r="K8" i="3"/>
  <c r="K6" i="3"/>
  <c r="K12" i="3"/>
  <c r="K10" i="3"/>
  <c r="K15" i="3"/>
  <c r="K7" i="3"/>
  <c r="K5" i="3"/>
  <c r="K13" i="3"/>
  <c r="K9" i="3"/>
  <c r="N57" i="3"/>
  <c r="N54" i="3"/>
  <c r="N50" i="3"/>
  <c r="N62" i="10"/>
  <c r="N75" i="10"/>
  <c r="O26" i="10"/>
  <c r="N56" i="3"/>
  <c r="N73" i="3"/>
  <c r="N40" i="3"/>
  <c r="N75" i="3"/>
  <c r="N60" i="3"/>
  <c r="O34" i="3"/>
  <c r="O31" i="3"/>
  <c r="O42" i="3"/>
  <c r="N70" i="10"/>
  <c r="O54" i="3"/>
  <c r="O44" i="3"/>
  <c r="O24" i="3"/>
  <c r="N27" i="3"/>
  <c r="O50" i="3"/>
  <c r="N78" i="10"/>
  <c r="N29" i="10"/>
  <c r="N58" i="3"/>
  <c r="N77" i="10"/>
  <c r="O35" i="3"/>
  <c r="O32" i="10"/>
  <c r="N78" i="3"/>
  <c r="O58" i="3"/>
  <c r="N61" i="10"/>
  <c r="O22" i="3"/>
  <c r="O38" i="3"/>
  <c r="N50" i="10"/>
  <c r="N34" i="10"/>
  <c r="O21" i="3"/>
  <c r="O30" i="3"/>
  <c r="N67" i="10"/>
  <c r="O23" i="3"/>
  <c r="O20" i="3"/>
  <c r="O27" i="10"/>
  <c r="N64" i="10"/>
  <c r="N34" i="3"/>
  <c r="O37" i="3"/>
  <c r="O42" i="10"/>
  <c r="O41" i="3"/>
  <c r="N31" i="3"/>
  <c r="N48" i="3"/>
  <c r="N70" i="3"/>
  <c r="O58" i="10"/>
  <c r="O56" i="10"/>
  <c r="N74" i="3"/>
  <c r="N35" i="10"/>
  <c r="N25" i="3"/>
  <c r="O53" i="3"/>
  <c r="O43" i="10"/>
  <c r="N30" i="3"/>
  <c r="N30" i="10"/>
  <c r="N35" i="3"/>
  <c r="O48" i="3"/>
  <c r="O27" i="3"/>
  <c r="N63" i="3"/>
  <c r="N45" i="10"/>
  <c r="N43" i="3"/>
  <c r="N53" i="3"/>
  <c r="N47" i="3"/>
  <c r="O51" i="3"/>
  <c r="N44" i="3"/>
  <c r="O40" i="3"/>
  <c r="O28" i="10"/>
  <c r="N38" i="3"/>
  <c r="O29" i="3"/>
  <c r="N49" i="3"/>
  <c r="O46" i="10"/>
  <c r="N59" i="3"/>
  <c r="N42" i="3"/>
  <c r="N26" i="3"/>
  <c r="N32" i="3"/>
  <c r="N21" i="3"/>
  <c r="N46" i="3"/>
  <c r="N71" i="10"/>
  <c r="O56" i="3"/>
  <c r="N36" i="3"/>
  <c r="O57" i="10"/>
  <c r="O47" i="3"/>
  <c r="N28" i="3"/>
  <c r="N65" i="3"/>
  <c r="N72" i="3"/>
  <c r="N64" i="3"/>
  <c r="O33" i="10"/>
  <c r="N65" i="10"/>
  <c r="N45" i="3"/>
  <c r="O19" i="3"/>
  <c r="N24" i="3"/>
  <c r="O47" i="10"/>
  <c r="O46" i="3"/>
  <c r="N72" i="10"/>
  <c r="N44" i="10"/>
  <c r="N69" i="10"/>
  <c r="O28" i="3"/>
  <c r="O25" i="3"/>
  <c r="N66" i="3"/>
  <c r="N55" i="3"/>
  <c r="N73" i="10"/>
  <c r="N29" i="3"/>
  <c r="N22" i="3"/>
  <c r="N37" i="3"/>
  <c r="N76" i="3"/>
  <c r="N76" i="10"/>
  <c r="O36" i="3"/>
  <c r="N41" i="3"/>
  <c r="N63" i="10"/>
  <c r="N71" i="3"/>
  <c r="O45" i="3"/>
  <c r="N33" i="3"/>
  <c r="O26" i="3"/>
  <c r="O57" i="3"/>
  <c r="N68" i="3"/>
  <c r="O55" i="3"/>
  <c r="N66" i="10"/>
  <c r="N60" i="10"/>
  <c r="O52" i="3"/>
  <c r="N51" i="3"/>
  <c r="O31" i="10"/>
  <c r="O39" i="3"/>
  <c r="N61" i="3"/>
  <c r="L14" i="3"/>
  <c r="N69" i="3"/>
  <c r="O32" i="3"/>
  <c r="O48" i="10"/>
  <c r="N23" i="3"/>
  <c r="N52" i="3"/>
  <c r="N49" i="10"/>
  <c r="N77" i="3"/>
  <c r="N39" i="3"/>
  <c r="O49" i="3"/>
  <c r="N62" i="3"/>
  <c r="N68" i="10"/>
  <c r="N59" i="10"/>
  <c r="N67" i="3"/>
  <c r="N74" i="10"/>
  <c r="O41" i="10"/>
  <c r="O43" i="3"/>
  <c r="O33" i="3"/>
  <c r="J60" i="10" l="1"/>
  <c r="G47" i="10" s="1"/>
  <c r="J28" i="10"/>
  <c r="G15" i="10" s="1"/>
  <c r="H15" i="10" s="1"/>
  <c r="J28" i="3"/>
  <c r="G15" i="3" s="1"/>
  <c r="H55" i="3" s="1"/>
  <c r="J57" i="10"/>
  <c r="G44" i="10" s="1"/>
  <c r="H44" i="10" s="1"/>
  <c r="J72" i="3"/>
  <c r="G59" i="3" s="1"/>
  <c r="J47" i="10"/>
  <c r="G34" i="10" s="1"/>
  <c r="H34" i="10" s="1"/>
  <c r="J20" i="3"/>
  <c r="G7" i="3" s="1"/>
  <c r="H47" i="3" s="1"/>
  <c r="J77" i="10"/>
  <c r="G64" i="10" s="1"/>
  <c r="J48" i="10"/>
  <c r="G35" i="10" s="1"/>
  <c r="H35" i="10" s="1"/>
  <c r="J76" i="3"/>
  <c r="G63" i="3" s="1"/>
  <c r="J45" i="3"/>
  <c r="G32" i="3" s="1"/>
  <c r="H32" i="3" s="1"/>
  <c r="J29" i="3"/>
  <c r="G16" i="3" s="1"/>
  <c r="H16" i="3" s="1"/>
  <c r="J21" i="3"/>
  <c r="G8" i="3" s="1"/>
  <c r="H8" i="3" s="1"/>
  <c r="J33" i="3"/>
  <c r="G20" i="3" s="1"/>
  <c r="H20" i="3" s="1"/>
  <c r="J29" i="10"/>
  <c r="G16" i="10" s="1"/>
  <c r="H56" i="10" s="1"/>
  <c r="J56" i="3"/>
  <c r="G43" i="3" s="1"/>
  <c r="H43" i="3" s="1"/>
  <c r="J22" i="3"/>
  <c r="G9" i="3" s="1"/>
  <c r="H49" i="3" s="1"/>
  <c r="J49" i="10"/>
  <c r="G36" i="10" s="1"/>
  <c r="H36" i="10" s="1"/>
  <c r="J77" i="3"/>
  <c r="G64" i="3" s="1"/>
  <c r="J60" i="3"/>
  <c r="G47" i="3" s="1"/>
  <c r="J71" i="3"/>
  <c r="G58" i="3" s="1"/>
  <c r="J57" i="3"/>
  <c r="G44" i="3" s="1"/>
  <c r="H44" i="3" s="1"/>
  <c r="J34" i="3"/>
  <c r="G21" i="3" s="1"/>
  <c r="H61" i="3" s="1"/>
  <c r="J46" i="3"/>
  <c r="G33" i="3" s="1"/>
  <c r="H33" i="3" s="1"/>
  <c r="J61" i="3"/>
  <c r="G48" i="3" s="1"/>
  <c r="J76" i="10"/>
  <c r="G63" i="10" s="1"/>
  <c r="J66" i="3"/>
  <c r="G53" i="3" s="1"/>
  <c r="J32" i="10"/>
  <c r="G19" i="10" s="1"/>
  <c r="J62" i="3"/>
  <c r="G49" i="3" s="1"/>
  <c r="J73" i="3"/>
  <c r="G60" i="3" s="1"/>
  <c r="J64" i="3"/>
  <c r="G51" i="3" s="1"/>
  <c r="J46" i="10"/>
  <c r="G33" i="10" s="1"/>
  <c r="H33" i="10" s="1"/>
  <c r="J71" i="10"/>
  <c r="G58" i="10" s="1"/>
  <c r="J25" i="3"/>
  <c r="G12" i="3" s="1"/>
  <c r="H12" i="3" s="1"/>
  <c r="J67" i="10"/>
  <c r="G54" i="10" s="1"/>
  <c r="J50" i="3"/>
  <c r="G37" i="3" s="1"/>
  <c r="H37" i="3" s="1"/>
  <c r="J39" i="3"/>
  <c r="G26" i="3" s="1"/>
  <c r="H26" i="3" s="1"/>
  <c r="J42" i="10"/>
  <c r="G29" i="10" s="1"/>
  <c r="H29" i="10" s="1"/>
  <c r="J43" i="10"/>
  <c r="G30" i="10" s="1"/>
  <c r="H30" i="10" s="1"/>
  <c r="J24" i="3"/>
  <c r="G11" i="3" s="1"/>
  <c r="H51" i="3" s="1"/>
  <c r="J74" i="10"/>
  <c r="G61" i="10" s="1"/>
  <c r="J19" i="3"/>
  <c r="G6" i="3" s="1"/>
  <c r="H6" i="3" s="1"/>
  <c r="J26" i="10"/>
  <c r="G13" i="10" s="1"/>
  <c r="H13" i="10" s="1"/>
  <c r="J37" i="3"/>
  <c r="G24" i="3" s="1"/>
  <c r="H64" i="3" s="1"/>
  <c r="J30" i="3"/>
  <c r="G17" i="3" s="1"/>
  <c r="H57" i="3" s="1"/>
  <c r="J34" i="10"/>
  <c r="G21" i="10" s="1"/>
  <c r="H21" i="10" s="1"/>
  <c r="J69" i="10"/>
  <c r="G56" i="10" s="1"/>
  <c r="J43" i="3"/>
  <c r="G30" i="3" s="1"/>
  <c r="H30" i="3" s="1"/>
  <c r="J62" i="10"/>
  <c r="G49" i="10" s="1"/>
  <c r="J26" i="3"/>
  <c r="G13" i="3" s="1"/>
  <c r="H53" i="3" s="1"/>
  <c r="J38" i="3"/>
  <c r="G25" i="3" s="1"/>
  <c r="H25" i="3" s="1"/>
  <c r="J36" i="3"/>
  <c r="G23" i="3" s="1"/>
  <c r="H63" i="3" s="1"/>
  <c r="J35" i="3"/>
  <c r="G22" i="3" s="1"/>
  <c r="H22" i="3" s="1"/>
  <c r="J42" i="3"/>
  <c r="G29" i="3" s="1"/>
  <c r="H29" i="3" s="1"/>
  <c r="J31" i="10"/>
  <c r="G18" i="10" s="1"/>
  <c r="J23" i="3"/>
  <c r="G10" i="3" s="1"/>
  <c r="H50" i="3" s="1"/>
  <c r="J78" i="3"/>
  <c r="G65" i="3" s="1"/>
  <c r="J47" i="3"/>
  <c r="G34" i="3" s="1"/>
  <c r="H34" i="3" s="1"/>
  <c r="J45" i="10"/>
  <c r="G32" i="10" s="1"/>
  <c r="H32" i="10" s="1"/>
  <c r="J53" i="3"/>
  <c r="G40" i="3" s="1"/>
  <c r="H40" i="3" s="1"/>
  <c r="J27" i="10"/>
  <c r="G14" i="10" s="1"/>
  <c r="H14" i="10" s="1"/>
  <c r="J51" i="3"/>
  <c r="G38" i="3" s="1"/>
  <c r="H38" i="3" s="1"/>
  <c r="J63" i="10"/>
  <c r="G50" i="10" s="1"/>
  <c r="J40" i="3"/>
  <c r="G27" i="3" s="1"/>
  <c r="H27" i="3" s="1"/>
  <c r="J48" i="3"/>
  <c r="G35" i="3" s="1"/>
  <c r="H35" i="3" s="1"/>
  <c r="J56" i="10"/>
  <c r="G43" i="10" s="1"/>
  <c r="H43" i="10" s="1"/>
  <c r="J32" i="3"/>
  <c r="G19" i="3" s="1"/>
  <c r="H59" i="3" s="1"/>
  <c r="J75" i="3"/>
  <c r="G62" i="3" s="1"/>
  <c r="J74" i="3"/>
  <c r="G61" i="3" s="1"/>
  <c r="J68" i="10"/>
  <c r="G55" i="10" s="1"/>
  <c r="J70" i="3"/>
  <c r="G57" i="3" s="1"/>
  <c r="J31" i="3"/>
  <c r="G18" i="3" s="1"/>
  <c r="H18" i="3" s="1"/>
  <c r="J52" i="3"/>
  <c r="G39" i="3" s="1"/>
  <c r="H39" i="3" s="1"/>
  <c r="J66" i="10"/>
  <c r="G53" i="10" s="1"/>
  <c r="J27" i="3"/>
  <c r="G14" i="3" s="1"/>
  <c r="H14" i="3" s="1"/>
  <c r="J54" i="3"/>
  <c r="G41" i="3" s="1"/>
  <c r="H41" i="3" s="1"/>
  <c r="J65" i="10"/>
  <c r="G52" i="10" s="1"/>
  <c r="J78" i="10"/>
  <c r="G65" i="10" s="1"/>
  <c r="J33" i="10"/>
  <c r="G20" i="10" s="1"/>
  <c r="H20" i="10" s="1"/>
  <c r="J44" i="10"/>
  <c r="G31" i="10" s="1"/>
  <c r="H31" i="10" s="1"/>
  <c r="J73" i="10"/>
  <c r="G60" i="10" s="1"/>
  <c r="J55" i="3"/>
  <c r="G42" i="3" s="1"/>
  <c r="H42" i="3" s="1"/>
  <c r="J63" i="3"/>
  <c r="G50" i="3" s="1"/>
  <c r="J69" i="3"/>
  <c r="G56" i="3" s="1"/>
  <c r="J58" i="10"/>
  <c r="G45" i="10" s="1"/>
  <c r="H45" i="10" s="1"/>
  <c r="J70" i="10"/>
  <c r="G57" i="10" s="1"/>
  <c r="J41" i="10"/>
  <c r="G28" i="10" s="1"/>
  <c r="H28" i="10" s="1"/>
  <c r="J30" i="10"/>
  <c r="G17" i="10" s="1"/>
  <c r="H57" i="10" s="1"/>
  <c r="J64" i="10"/>
  <c r="G51" i="10" s="1"/>
  <c r="J61" i="10"/>
  <c r="G48" i="10" s="1"/>
  <c r="J75" i="10"/>
  <c r="G62" i="10" s="1"/>
  <c r="J58" i="3"/>
  <c r="G45" i="3" s="1"/>
  <c r="H45" i="3" s="1"/>
  <c r="J67" i="3"/>
  <c r="G54" i="3" s="1"/>
  <c r="J50" i="10"/>
  <c r="G37" i="10" s="1"/>
  <c r="H37" i="10" s="1"/>
  <c r="J59" i="3"/>
  <c r="G46" i="3" s="1"/>
  <c r="J44" i="3"/>
  <c r="G31" i="3" s="1"/>
  <c r="H31" i="3" s="1"/>
  <c r="J72" i="10"/>
  <c r="G59" i="10" s="1"/>
  <c r="J41" i="3"/>
  <c r="G28" i="3" s="1"/>
  <c r="H28" i="3" s="1"/>
  <c r="J59" i="10"/>
  <c r="G46" i="10" s="1"/>
  <c r="J68" i="3"/>
  <c r="G55" i="3" s="1"/>
  <c r="J49" i="3"/>
  <c r="G36" i="3" s="1"/>
  <c r="H36" i="3" s="1"/>
  <c r="J65" i="3"/>
  <c r="G52" i="3" s="1"/>
  <c r="J35" i="10"/>
  <c r="G22" i="10" s="1"/>
  <c r="H62" i="10" s="1"/>
  <c r="F23" i="2"/>
  <c r="F4" i="4" s="1"/>
  <c r="F22" i="2"/>
  <c r="F3" i="4" s="1"/>
  <c r="N13" i="3"/>
  <c r="M4" i="3"/>
  <c r="O9" i="3"/>
  <c r="L11" i="3"/>
  <c r="M15" i="3"/>
  <c r="L8" i="3"/>
  <c r="M6" i="3"/>
  <c r="L9" i="3"/>
  <c r="O12" i="3"/>
  <c r="M5" i="3"/>
  <c r="L7" i="3"/>
  <c r="M7" i="3"/>
  <c r="O6" i="3"/>
  <c r="L12" i="3"/>
  <c r="O8" i="3"/>
  <c r="L13" i="3"/>
  <c r="N14" i="3"/>
  <c r="O14" i="3"/>
  <c r="M13" i="3"/>
  <c r="N8" i="3"/>
  <c r="L6" i="3"/>
  <c r="O11" i="3"/>
  <c r="L10" i="3"/>
  <c r="L5" i="3"/>
  <c r="O7" i="3"/>
  <c r="N7" i="3"/>
  <c r="N12" i="3"/>
  <c r="N6" i="3"/>
  <c r="N15" i="3"/>
  <c r="O5" i="3"/>
  <c r="O10" i="3"/>
  <c r="M12" i="3"/>
  <c r="O15" i="3"/>
  <c r="O4" i="3"/>
  <c r="L4" i="3"/>
  <c r="N5" i="3"/>
  <c r="M9" i="3"/>
  <c r="N11" i="3"/>
  <c r="N10" i="3"/>
  <c r="O13" i="3"/>
  <c r="M14" i="3"/>
  <c r="M11" i="3"/>
  <c r="L15" i="3"/>
  <c r="M8" i="3"/>
  <c r="M10" i="3"/>
  <c r="N9" i="3"/>
  <c r="J14" i="3" l="1"/>
  <c r="H48" i="3"/>
  <c r="H54" i="10"/>
  <c r="H9" i="3"/>
  <c r="H17" i="3"/>
  <c r="H62" i="3"/>
  <c r="H23" i="3"/>
  <c r="H55" i="10"/>
  <c r="H52" i="3"/>
  <c r="H60" i="3"/>
  <c r="H16" i="10"/>
  <c r="H7" i="3"/>
  <c r="H15" i="3"/>
  <c r="H21" i="3"/>
  <c r="H24" i="3"/>
  <c r="H56" i="3"/>
  <c r="H59" i="10"/>
  <c r="H19" i="10"/>
  <c r="H10" i="3"/>
  <c r="H58" i="3"/>
  <c r="H58" i="10"/>
  <c r="H18" i="10"/>
  <c r="H53" i="10"/>
  <c r="H65" i="3"/>
  <c r="H11" i="3"/>
  <c r="H54" i="3"/>
  <c r="H17" i="10"/>
  <c r="H46" i="3"/>
  <c r="H13" i="3"/>
  <c r="H22" i="10"/>
  <c r="H60" i="10"/>
  <c r="H19" i="3"/>
  <c r="H61" i="10"/>
  <c r="J10" i="3"/>
  <c r="J11" i="3"/>
  <c r="J5" i="3"/>
  <c r="J13" i="3"/>
  <c r="J15" i="3"/>
  <c r="J8" i="3"/>
  <c r="J6" i="3"/>
  <c r="J12" i="3"/>
  <c r="J9" i="3"/>
  <c r="J7" i="3"/>
  <c r="O4" i="10"/>
  <c r="N4" i="10"/>
  <c r="N4" i="3"/>
  <c r="J4" i="10" l="1"/>
  <c r="P4" i="10" s="1"/>
  <c r="J4" i="3"/>
  <c r="P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<sst xmlns="http://schemas.openxmlformats.org/spreadsheetml/2006/main" count="459" uniqueCount="201">
  <si>
    <t>OC4000</t>
  </si>
  <si>
    <t>Save As Before Closing!!!!</t>
  </si>
  <si>
    <t>OC3000</t>
  </si>
  <si>
    <t>Setting used on Magscale:</t>
  </si>
  <si>
    <t>X</t>
  </si>
  <si>
    <t>Standard Angle Values</t>
  </si>
  <si>
    <t>Protractor Results:</t>
  </si>
  <si>
    <t>(Decimal Degrees can be entered in the "DEG" column)</t>
  </si>
  <si>
    <t>OC1000</t>
  </si>
  <si>
    <t>Dev</t>
  </si>
  <si>
    <t>Comparator Magnification:</t>
  </si>
  <si>
    <t>Nominal</t>
  </si>
  <si>
    <t xml:space="preserve">Actual </t>
  </si>
  <si>
    <t>Deg</t>
  </si>
  <si>
    <t>Min</t>
  </si>
  <si>
    <t>Sec</t>
  </si>
  <si>
    <t>Deviation (DMS)</t>
  </si>
  <si>
    <t>Std Cnts</t>
  </si>
  <si>
    <t>UUT Cnts</t>
  </si>
  <si>
    <t>Difference</t>
  </si>
  <si>
    <t>Circle Measured:</t>
  </si>
  <si>
    <t>Magnified Standard Diameter</t>
  </si>
  <si>
    <t>Reading:</t>
  </si>
  <si>
    <t>Deviation</t>
  </si>
  <si>
    <t>Tolerance</t>
  </si>
  <si>
    <t>B</t>
  </si>
  <si>
    <t>C</t>
  </si>
  <si>
    <t>F</t>
  </si>
  <si>
    <t>H</t>
  </si>
  <si>
    <t>X Axis</t>
  </si>
  <si>
    <t>Y Axis</t>
  </si>
  <si>
    <t>Repeatability:</t>
  </si>
  <si>
    <t>Reticle Scale</t>
  </si>
  <si>
    <t>Y</t>
  </si>
  <si>
    <t xml:space="preserve">Start  Pt. </t>
  </si>
  <si>
    <t>Linear Displacement:</t>
  </si>
  <si>
    <t>On Std.</t>
  </si>
  <si>
    <t>Results</t>
  </si>
  <si>
    <t>ACTUAL</t>
  </si>
  <si>
    <t>Inc. Dev.</t>
  </si>
  <si>
    <t>Abs. Dev.</t>
  </si>
  <si>
    <t>Index (H3)</t>
  </si>
  <si>
    <t>Values</t>
  </si>
  <si>
    <t>'OC3000 Values'!$C$6:$F$30</t>
  </si>
  <si>
    <t>'OC3000 Values'!$H$6:$K$18</t>
  </si>
  <si>
    <t>'OC4000 Values'!$C$6:$F$30</t>
  </si>
  <si>
    <t/>
  </si>
  <si>
    <t>Max Inc. Dev.</t>
  </si>
  <si>
    <t>Max Abs. Dev.</t>
  </si>
  <si>
    <t>Max</t>
  </si>
  <si>
    <t>Abs Min</t>
  </si>
  <si>
    <t>Report No.</t>
  </si>
  <si>
    <t>RESULTS</t>
  </si>
  <si>
    <t>Customer</t>
  </si>
  <si>
    <t>X AXIS</t>
  </si>
  <si>
    <t>Item</t>
  </si>
  <si>
    <t>L.D.A Incremental</t>
  </si>
  <si>
    <t>Model No.</t>
  </si>
  <si>
    <t>L.D.A Maximum</t>
  </si>
  <si>
    <t>Unit No.</t>
  </si>
  <si>
    <t>Repeatability</t>
  </si>
  <si>
    <t>Serial No.</t>
  </si>
  <si>
    <t>Location</t>
  </si>
  <si>
    <t>Inspector</t>
  </si>
  <si>
    <t>Y AXIS</t>
  </si>
  <si>
    <t>Date Cal.</t>
  </si>
  <si>
    <t>Date Due</t>
  </si>
  <si>
    <t>Temp.</t>
  </si>
  <si>
    <t>Humidity</t>
  </si>
  <si>
    <t>X Axis Range</t>
  </si>
  <si>
    <t>Y Axis Range</t>
  </si>
  <si>
    <t>Magnification Error(Avg)</t>
  </si>
  <si>
    <t>Scale Res.</t>
  </si>
  <si>
    <t>Protractor Error(Max)</t>
  </si>
  <si>
    <t>Protractor Res.</t>
  </si>
  <si>
    <t>Lens Mag.</t>
  </si>
  <si>
    <t>GAGE LINE RETICLE CERTIFICATION VALUES</t>
  </si>
  <si>
    <t>OC3000 VALUES</t>
  </si>
  <si>
    <t>Top Inch Scale</t>
  </si>
  <si>
    <t>Vertical Inch Scale</t>
  </si>
  <si>
    <t>CIRCLES</t>
  </si>
  <si>
    <t>ACTUAL SIZE</t>
  </si>
  <si>
    <t>ANGLES</t>
  </si>
  <si>
    <t>Standard Counts</t>
  </si>
  <si>
    <t>error (µ")</t>
  </si>
  <si>
    <t>Actual</t>
  </si>
  <si>
    <t>A</t>
  </si>
  <si>
    <t>ACTUAL VALUES</t>
  </si>
  <si>
    <t>Dev.</t>
  </si>
  <si>
    <t>Std Counts</t>
  </si>
  <si>
    <t>D</t>
  </si>
  <si>
    <t>E</t>
  </si>
  <si>
    <t>G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</si>
  <si>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</si>
  <si>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</si>
  <si>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</si>
  <si>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</si>
  <si>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</si>
  <si>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</si>
  <si>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</si>
  <si>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</si>
  <si>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</si>
  <si>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</si>
  <si>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</si>
  <si>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</si>
  <si>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</si>
  <si>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</si>
  <si>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Z</t>
  </si>
  <si>
    <t>Y Scale Interp</t>
  </si>
  <si>
    <t>known Col. Lookup (The value from the known column for which you want a corresponding unknown-other column value)</t>
  </si>
  <si>
    <t>Unknown. Column. result</t>
  </si>
  <si>
    <t>Ct of numbers&lt; known column lookup in the known column.</t>
  </si>
  <si>
    <t>known column low</t>
  </si>
  <si>
    <t>known column high</t>
  </si>
  <si>
    <t>unknown col. Low</t>
  </si>
  <si>
    <t>unknown column high</t>
  </si>
  <si>
    <t>OC1000 Cert Values</t>
  </si>
  <si>
    <t>OC1000 VALUES</t>
  </si>
  <si>
    <t>=</t>
  </si>
  <si>
    <t>14° 59' 52"</t>
  </si>
  <si>
    <t>+5"</t>
  </si>
  <si>
    <t>-40"</t>
  </si>
  <si>
    <t>+9"</t>
  </si>
  <si>
    <t>+34"</t>
  </si>
  <si>
    <t>-39"</t>
  </si>
  <si>
    <t>90° 0' 04"</t>
  </si>
  <si>
    <t>-1' 8"</t>
  </si>
  <si>
    <t>-59"</t>
  </si>
  <si>
    <t>-49"</t>
  </si>
  <si>
    <t>135° 0' 25"</t>
  </si>
  <si>
    <t>-11"</t>
  </si>
  <si>
    <t>-1' 21"</t>
  </si>
  <si>
    <t>-48"</t>
  </si>
  <si>
    <t>-26"</t>
  </si>
  <si>
    <t>Error</t>
  </si>
  <si>
    <t>Angles</t>
  </si>
  <si>
    <t>Standardization of OC</t>
  </si>
  <si>
    <t>OC1000 Values</t>
  </si>
  <si>
    <t>Master Scale Used:</t>
  </si>
  <si>
    <t>Date:</t>
  </si>
  <si>
    <t>A,B,C,G,J,K</t>
  </si>
  <si>
    <t>X axis</t>
  </si>
  <si>
    <t>indicated</t>
  </si>
  <si>
    <t>True Error</t>
  </si>
  <si>
    <t>Cts</t>
  </si>
  <si>
    <t>Std</t>
  </si>
  <si>
    <t>Indicated</t>
  </si>
  <si>
    <t>True Rdg</t>
  </si>
  <si>
    <t>Mag Circles</t>
  </si>
  <si>
    <t>Circle</t>
  </si>
  <si>
    <t xml:space="preserve">reset at 7 </t>
  </si>
  <si>
    <t>I</t>
  </si>
  <si>
    <t>Magnification Scale Calibration Values</t>
  </si>
  <si>
    <t>X setting</t>
  </si>
  <si>
    <t>Cal. Date:</t>
  </si>
  <si>
    <t>Interpolated correction factors for Normal Use</t>
  </si>
  <si>
    <t>Actual Result</t>
  </si>
  <si>
    <t>Comparator Characterization</t>
  </si>
  <si>
    <t>Marked</t>
  </si>
  <si>
    <t>Cal. Corr. Factor</t>
  </si>
  <si>
    <t>Usage Corr. Factor</t>
  </si>
  <si>
    <t>Correction from OC2000</t>
  </si>
  <si>
    <t>Corrected Value</t>
  </si>
  <si>
    <t>Characterized Correction</t>
  </si>
  <si>
    <t>Interp. Correction factors for obtaining TRUE OC100 Error</t>
  </si>
  <si>
    <t>Action:</t>
  </si>
  <si>
    <t>Lookup Corrections verified, Magnification function verified, Password protection added</t>
  </si>
  <si>
    <t>OC2000 values added, programmed. Fillable cells identified by color code. Worksheet renamed "Optical Comparator Worksheet"</t>
  </si>
  <si>
    <t>Magscale recalibrated, Mag accuracy deviation and tolerance calculation was corrected. Deviations calculated for angles, Visual improvements, Summary of results page added</t>
  </si>
  <si>
    <t>Corrected a Y axis formula error</t>
  </si>
  <si>
    <t>Removed Table aligmnent fields</t>
  </si>
  <si>
    <t>Added OC3000, made start point for x and y axis adjustable</t>
  </si>
  <si>
    <t>Updated reference values, no software changes</t>
  </si>
  <si>
    <t>Updated reference values, updated OC3000 standard entry format</t>
  </si>
  <si>
    <t>magnification</t>
  </si>
  <si>
    <t>x</t>
  </si>
  <si>
    <t>(10 times the nominal size of the object)</t>
  </si>
  <si>
    <t>Nominal Object size</t>
  </si>
  <si>
    <t>inches</t>
  </si>
  <si>
    <t>Magnified Object (N).</t>
  </si>
  <si>
    <t>Reading of magnified object</t>
  </si>
  <si>
    <t>magnification error, in inches</t>
  </si>
  <si>
    <t>magnification error of the actual object, in inches</t>
  </si>
  <si>
    <t>error, expressed in power of x</t>
  </si>
  <si>
    <t>actual magnification</t>
  </si>
  <si>
    <t>% error of magnification</t>
  </si>
  <si>
    <t>OC4000 VALUES</t>
  </si>
  <si>
    <t>'OC4000 Values'!$H$6:$K$18</t>
  </si>
  <si>
    <t>Calibration Date</t>
  </si>
  <si>
    <t>Due Date</t>
  </si>
  <si>
    <t>LINEAR AXES TESTING</t>
  </si>
  <si>
    <t>MAGINIFICATION TESTING</t>
  </si>
  <si>
    <t>Angle Testing</t>
  </si>
  <si>
    <t>Deviation (decimal round as needed)</t>
  </si>
  <si>
    <t>dec deg dev</t>
  </si>
  <si>
    <t>added decimal degrees deviation</t>
  </si>
  <si>
    <t>Extraction</t>
  </si>
  <si>
    <t>minutes extracted</t>
  </si>
  <si>
    <t>seconds extracted</t>
  </si>
  <si>
    <t>seconds extractor</t>
  </si>
  <si>
    <t>fixed a calculation error in the minutes and seconds extraction of the OC3000 and OC4000 tabs (angle)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</si>
</sst>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000"/>
    <numFmt numFmtId="165" formatCode="0.00000"/>
    <numFmt numFmtId="166" formatCode="0&quot;°&quot;"/>
    <numFmt numFmtId="167" formatCode="0&quot;'&quot;"/>
    <numFmt numFmtId="168" formatCode="0&quot;''&quot;"/>
    <numFmt numFmtId="169" formatCode="0.0"/>
    <numFmt numFmtId="170" formatCode="#.####&quot;°&quot;"/>
    <numFmt numFmtId="171" formatCode="0.0000"/>
  </numFmts>
  <fonts count="27" x14ac:knownFonts="1">
    <font>
      <sz val="11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u/>
      <sz val="10"/>
      <name val="Arial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8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 tint="-0.14999847407452621"/>
      <name val="Calibri"/>
      <family val="2"/>
    </font>
    <font>
      <sz val="11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rgb="FFC00000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</font>
    <font>
      <sz val="11"/>
      <color theme="1" tint="0.49998474074526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80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0" fontId="2" fillId="2" borderId="6" xfId="0" applyFont="1" applyFill="1" applyBorder="1"/>
    <xf numFmtId="0" fontId="0" fillId="3" borderId="7" xfId="0" applyFill="1" applyBorder="1"/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1" xfId="0" applyFill="1" applyBorder="1"/>
    <xf numFmtId="0" fontId="3" fillId="5" borderId="2" xfId="0" applyFont="1" applyFill="1" applyBorder="1" applyAlignment="1">
      <alignment horizontal="center"/>
    </xf>
    <xf numFmtId="0" fontId="0" fillId="5" borderId="3" xfId="0" applyFill="1" applyBorder="1"/>
    <xf numFmtId="0" fontId="1" fillId="5" borderId="0" xfId="0" applyFont="1" applyFill="1"/>
    <xf numFmtId="0" fontId="0" fillId="5" borderId="7" xfId="0" applyFill="1" applyBorder="1" applyAlignment="1">
      <alignment horizontal="right"/>
    </xf>
    <xf numFmtId="0" fontId="0" fillId="5" borderId="9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8" xfId="0" applyFill="1" applyBorder="1"/>
    <xf numFmtId="0" fontId="4" fillId="5" borderId="0" xfId="0" applyFont="1" applyFill="1"/>
    <xf numFmtId="164" fontId="4" fillId="5" borderId="0" xfId="0" applyNumberFormat="1" applyFont="1" applyFill="1"/>
    <xf numFmtId="10" fontId="0" fillId="5" borderId="0" xfId="0" applyNumberFormat="1" applyFill="1"/>
    <xf numFmtId="14" fontId="0" fillId="0" borderId="0" xfId="0" applyNumberFormat="1"/>
    <xf numFmtId="0" fontId="0" fillId="4" borderId="0" xfId="0" applyFill="1" applyAlignment="1" applyProtection="1">
      <alignment horizontal="left"/>
      <protection locked="0"/>
    </xf>
    <xf numFmtId="14" fontId="0" fillId="4" borderId="0" xfId="0" applyNumberFormat="1" applyFill="1" applyAlignment="1" applyProtection="1">
      <alignment horizontal="left"/>
      <protection locked="0"/>
    </xf>
    <xf numFmtId="0" fontId="0" fillId="5" borderId="0" xfId="0" applyFill="1" applyProtection="1">
      <protection locked="0"/>
    </xf>
    <xf numFmtId="0" fontId="0" fillId="4" borderId="11" xfId="0" applyFill="1" applyBorder="1" applyProtection="1">
      <protection locked="0"/>
    </xf>
    <xf numFmtId="165" fontId="0" fillId="4" borderId="9" xfId="0" applyNumberFormat="1" applyFill="1" applyBorder="1" applyProtection="1">
      <protection locked="0"/>
    </xf>
    <xf numFmtId="165" fontId="0" fillId="4" borderId="12" xfId="0" applyNumberFormat="1" applyFill="1" applyBorder="1" applyProtection="1">
      <protection locked="0"/>
    </xf>
    <xf numFmtId="165" fontId="0" fillId="4" borderId="13" xfId="0" applyNumberFormat="1" applyFill="1" applyBorder="1" applyProtection="1">
      <protection locked="0"/>
    </xf>
    <xf numFmtId="166" fontId="0" fillId="4" borderId="14" xfId="0" applyNumberFormat="1" applyFill="1" applyBorder="1" applyProtection="1">
      <protection locked="0"/>
    </xf>
    <xf numFmtId="167" fontId="0" fillId="4" borderId="15" xfId="0" applyNumberFormat="1" applyFill="1" applyBorder="1" applyProtection="1">
      <protection locked="0"/>
    </xf>
    <xf numFmtId="168" fontId="0" fillId="4" borderId="15" xfId="0" applyNumberFormat="1" applyFill="1" applyBorder="1" applyProtection="1">
      <protection locked="0"/>
    </xf>
    <xf numFmtId="166" fontId="0" fillId="4" borderId="16" xfId="0" applyNumberFormat="1" applyFill="1" applyBorder="1" applyProtection="1">
      <protection locked="0"/>
    </xf>
    <xf numFmtId="167" fontId="0" fillId="4" borderId="17" xfId="0" applyNumberFormat="1" applyFill="1" applyBorder="1" applyProtection="1">
      <protection locked="0"/>
    </xf>
    <xf numFmtId="168" fontId="0" fillId="4" borderId="17" xfId="0" applyNumberFormat="1" applyFill="1" applyBorder="1" applyProtection="1">
      <protection locked="0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/>
    <xf numFmtId="164" fontId="0" fillId="3" borderId="7" xfId="0" applyNumberFormat="1" applyFill="1" applyBorder="1"/>
    <xf numFmtId="165" fontId="0" fillId="6" borderId="0" xfId="0" applyNumberFormat="1" applyFill="1"/>
    <xf numFmtId="0" fontId="0" fillId="0" borderId="0" xfId="0" applyAlignment="1">
      <alignment horizontal="right"/>
    </xf>
    <xf numFmtId="10" fontId="0" fillId="5" borderId="9" xfId="1" applyNumberFormat="1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13" fillId="5" borderId="0" xfId="0" applyFont="1" applyFill="1"/>
    <xf numFmtId="0" fontId="14" fillId="5" borderId="0" xfId="0" applyFont="1" applyFill="1"/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8" fillId="5" borderId="0" xfId="0" applyFont="1" applyFill="1"/>
    <xf numFmtId="0" fontId="6" fillId="5" borderId="0" xfId="0" applyFont="1" applyFill="1"/>
    <xf numFmtId="164" fontId="0" fillId="5" borderId="5" xfId="0" applyNumberFormat="1" applyFill="1" applyBorder="1" applyAlignment="1">
      <alignment horizontal="center"/>
    </xf>
    <xf numFmtId="164" fontId="10" fillId="5" borderId="0" xfId="0" applyNumberFormat="1" applyFont="1" applyFill="1" applyAlignment="1">
      <alignment horizontal="center" vertical="center"/>
    </xf>
    <xf numFmtId="0" fontId="15" fillId="5" borderId="0" xfId="0" applyFont="1" applyFill="1"/>
    <xf numFmtId="10" fontId="0" fillId="5" borderId="15" xfId="0" applyNumberFormat="1" applyFill="1" applyBorder="1" applyAlignment="1">
      <alignment horizontal="center"/>
    </xf>
    <xf numFmtId="164" fontId="7" fillId="7" borderId="0" xfId="0" applyNumberFormat="1" applyFont="1" applyFill="1"/>
    <xf numFmtId="0" fontId="10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5" xfId="0" applyFill="1" applyBorder="1"/>
    <xf numFmtId="0" fontId="0" fillId="5" borderId="5" xfId="0" applyFill="1" applyBorder="1" applyAlignment="1">
      <alignment horizontal="right"/>
    </xf>
    <xf numFmtId="164" fontId="7" fillId="7" borderId="2" xfId="0" applyNumberFormat="1" applyFont="1" applyFill="1" applyBorder="1"/>
    <xf numFmtId="0" fontId="7" fillId="7" borderId="7" xfId="0" applyFont="1" applyFill="1" applyBorder="1"/>
    <xf numFmtId="0" fontId="8" fillId="5" borderId="1" xfId="0" applyFont="1" applyFill="1" applyBorder="1"/>
    <xf numFmtId="0" fontId="8" fillId="5" borderId="2" xfId="0" applyFont="1" applyFill="1" applyBorder="1"/>
    <xf numFmtId="0" fontId="9" fillId="5" borderId="2" xfId="0" applyFont="1" applyFill="1" applyBorder="1" applyAlignment="1">
      <alignment horizontal="right"/>
    </xf>
    <xf numFmtId="164" fontId="9" fillId="5" borderId="2" xfId="0" applyNumberFormat="1" applyFont="1" applyFill="1" applyBorder="1"/>
    <xf numFmtId="0" fontId="8" fillId="5" borderId="3" xfId="0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9" fillId="5" borderId="7" xfId="0" applyFont="1" applyFill="1" applyBorder="1" applyAlignment="1">
      <alignment horizontal="right"/>
    </xf>
    <xf numFmtId="164" fontId="9" fillId="5" borderId="7" xfId="0" applyNumberFormat="1" applyFont="1" applyFill="1" applyBorder="1"/>
    <xf numFmtId="0" fontId="8" fillId="5" borderId="8" xfId="0" applyFont="1" applyFill="1" applyBorder="1"/>
    <xf numFmtId="0" fontId="12" fillId="5" borderId="0" xfId="0" applyFont="1" applyFill="1" applyAlignment="1">
      <alignment horizontal="right"/>
    </xf>
    <xf numFmtId="0" fontId="9" fillId="5" borderId="0" xfId="0" applyFont="1" applyFill="1" applyAlignment="1">
      <alignment horizontal="right"/>
    </xf>
    <xf numFmtId="164" fontId="9" fillId="5" borderId="0" xfId="0" applyNumberFormat="1" applyFont="1" applyFill="1"/>
    <xf numFmtId="0" fontId="8" fillId="5" borderId="4" xfId="0" applyFont="1" applyFill="1" applyBorder="1"/>
    <xf numFmtId="0" fontId="8" fillId="5" borderId="5" xfId="0" applyFont="1" applyFill="1" applyBorder="1"/>
    <xf numFmtId="0" fontId="12" fillId="5" borderId="7" xfId="0" applyFont="1" applyFill="1" applyBorder="1" applyAlignment="1">
      <alignment horizontal="right"/>
    </xf>
    <xf numFmtId="0" fontId="15" fillId="5" borderId="0" xfId="0" applyFont="1" applyFill="1" applyAlignment="1">
      <alignment horizontal="right"/>
    </xf>
    <xf numFmtId="169" fontId="0" fillId="5" borderId="4" xfId="0" applyNumberFormat="1" applyFill="1" applyBorder="1" applyAlignment="1">
      <alignment horizontal="right"/>
    </xf>
    <xf numFmtId="169" fontId="0" fillId="5" borderId="4" xfId="0" applyNumberFormat="1" applyFill="1" applyBorder="1"/>
    <xf numFmtId="0" fontId="0" fillId="5" borderId="4" xfId="0" applyFill="1" applyBorder="1" applyAlignment="1">
      <alignment horizontal="left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 applyAlignment="1">
      <alignment horizontal="right"/>
    </xf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4" xfId="0" applyFill="1" applyBorder="1"/>
    <xf numFmtId="0" fontId="0" fillId="9" borderId="0" xfId="0" applyFill="1"/>
    <xf numFmtId="0" fontId="0" fillId="9" borderId="5" xfId="0" applyFill="1" applyBorder="1"/>
    <xf numFmtId="0" fontId="0" fillId="9" borderId="0" xfId="0" applyFill="1" applyAlignment="1">
      <alignment horizontal="right"/>
    </xf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8" fillId="8" borderId="1" xfId="0" applyFont="1" applyFill="1" applyBorder="1"/>
    <xf numFmtId="0" fontId="12" fillId="8" borderId="2" xfId="0" applyFont="1" applyFill="1" applyBorder="1" applyAlignment="1">
      <alignment horizontal="left"/>
    </xf>
    <xf numFmtId="0" fontId="12" fillId="9" borderId="2" xfId="0" applyFont="1" applyFill="1" applyBorder="1" applyAlignment="1">
      <alignment horizontal="left"/>
    </xf>
    <xf numFmtId="14" fontId="0" fillId="8" borderId="0" xfId="0" applyNumberFormat="1" applyFill="1"/>
    <xf numFmtId="0" fontId="0" fillId="8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7" xfId="0" applyFill="1" applyBorder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5" fontId="0" fillId="5" borderId="15" xfId="2" applyNumberFormat="1" applyFont="1" applyFill="1" applyBorder="1" applyAlignment="1">
      <alignment horizontal="center"/>
    </xf>
    <xf numFmtId="165" fontId="0" fillId="5" borderId="0" xfId="2" applyNumberFormat="1" applyFont="1" applyFill="1" applyAlignment="1">
      <alignment horizontal="right"/>
    </xf>
    <xf numFmtId="165" fontId="0" fillId="5" borderId="0" xfId="2" applyNumberFormat="1" applyFont="1" applyFill="1" applyAlignment="1">
      <alignment horizontal="center"/>
    </xf>
    <xf numFmtId="0" fontId="0" fillId="0" borderId="15" xfId="0" applyBorder="1"/>
    <xf numFmtId="0" fontId="0" fillId="0" borderId="24" xfId="0" applyBorder="1"/>
    <xf numFmtId="0" fontId="15" fillId="0" borderId="25" xfId="0" applyFont="1" applyBorder="1"/>
    <xf numFmtId="0" fontId="0" fillId="0" borderId="20" xfId="0" applyBorder="1"/>
    <xf numFmtId="164" fontId="15" fillId="0" borderId="21" xfId="0" applyNumberFormat="1" applyFont="1" applyBorder="1"/>
    <xf numFmtId="0" fontId="0" fillId="0" borderId="22" xfId="0" applyBorder="1"/>
    <xf numFmtId="164" fontId="15" fillId="0" borderId="23" xfId="0" applyNumberFormat="1" applyFont="1" applyBorder="1"/>
    <xf numFmtId="0" fontId="15" fillId="0" borderId="21" xfId="0" applyFont="1" applyBorder="1"/>
    <xf numFmtId="0" fontId="15" fillId="0" borderId="23" xfId="0" applyFont="1" applyBorder="1"/>
    <xf numFmtId="0" fontId="0" fillId="0" borderId="26" xfId="0" applyBorder="1"/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165" fontId="0" fillId="5" borderId="0" xfId="0" applyNumberForma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16" fillId="0" borderId="0" xfId="0" applyFont="1"/>
    <xf numFmtId="0" fontId="6" fillId="0" borderId="0" xfId="0" quotePrefix="1" applyFont="1"/>
    <xf numFmtId="164" fontId="6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7" fillId="5" borderId="2" xfId="0" applyFont="1" applyFill="1" applyBorder="1" applyAlignment="1">
      <alignment horizontal="center" vertical="center"/>
    </xf>
    <xf numFmtId="0" fontId="18" fillId="5" borderId="0" xfId="0" applyFont="1" applyFill="1"/>
    <xf numFmtId="0" fontId="19" fillId="5" borderId="0" xfId="0" applyFont="1" applyFill="1"/>
    <xf numFmtId="0" fontId="20" fillId="5" borderId="0" xfId="0" applyFont="1" applyFill="1"/>
    <xf numFmtId="0" fontId="0" fillId="0" borderId="18" xfId="0" applyBorder="1"/>
    <xf numFmtId="0" fontId="0" fillId="0" borderId="10" xfId="0" applyBorder="1"/>
    <xf numFmtId="14" fontId="15" fillId="0" borderId="19" xfId="0" applyNumberFormat="1" applyFont="1" applyBorder="1"/>
    <xf numFmtId="0" fontId="21" fillId="5" borderId="0" xfId="0" applyFont="1" applyFill="1"/>
    <xf numFmtId="0" fontId="22" fillId="5" borderId="0" xfId="0" applyFont="1" applyFill="1"/>
    <xf numFmtId="0" fontId="23" fillId="5" borderId="0" xfId="0" applyFont="1" applyFill="1"/>
    <xf numFmtId="0" fontId="7" fillId="5" borderId="0" xfId="0" applyFont="1" applyFill="1"/>
    <xf numFmtId="10" fontId="0" fillId="5" borderId="11" xfId="1" applyNumberFormat="1" applyFont="1" applyFill="1" applyBorder="1" applyAlignment="1">
      <alignment horizontal="center"/>
    </xf>
    <xf numFmtId="0" fontId="24" fillId="5" borderId="0" xfId="0" applyFont="1" applyFill="1"/>
    <xf numFmtId="0" fontId="25" fillId="5" borderId="0" xfId="0" applyFont="1" applyFill="1"/>
    <xf numFmtId="0" fontId="26" fillId="5" borderId="0" xfId="0" applyFont="1" applyFill="1"/>
    <xf numFmtId="0" fontId="7" fillId="5" borderId="0" xfId="0" quotePrefix="1" applyFont="1" applyFill="1"/>
    <xf numFmtId="170" fontId="16" fillId="5" borderId="0" xfId="0" applyNumberFormat="1" applyFont="1" applyFill="1" applyAlignment="1">
      <alignment horizontal="left"/>
    </xf>
    <xf numFmtId="169" fontId="0" fillId="4" borderId="11" xfId="0" applyNumberFormat="1" applyFill="1" applyBorder="1" applyAlignment="1" applyProtection="1">
      <alignment horizontal="right"/>
      <protection locked="0"/>
    </xf>
    <xf numFmtId="49" fontId="0" fillId="0" borderId="0" xfId="0" applyNumberFormat="1"/>
    <xf numFmtId="171" fontId="15" fillId="0" borderId="21" xfId="0" applyNumberFormat="1" applyFont="1" applyBorder="1"/>
    <xf numFmtId="2" fontId="0" fillId="4" borderId="0" xfId="0" applyNumberFormat="1" applyFill="1"/>
    <xf numFmtId="0" fontId="0" fillId="10" borderId="18" xfId="0" applyFill="1" applyBorder="1" applyAlignment="1" applyProtection="1">
      <alignment horizontal="center"/>
      <protection locked="0"/>
    </xf>
    <xf numFmtId="0" fontId="0" fillId="10" borderId="10" xfId="0" applyFill="1" applyBorder="1" applyAlignment="1" applyProtection="1">
      <alignment horizontal="center"/>
      <protection locked="0"/>
    </xf>
    <xf numFmtId="164" fontId="0" fillId="5" borderId="6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11" borderId="0" xfId="0" applyFill="1"/>
  </cellXfs>
  <cellStyles count="3">
    <cellStyle name="Comma" xfId="2" builtinId="3"/>
    <cellStyle name="Normal" xfId="0" builtinId="0"/>
    <cellStyle name="Percent" xfId="1" builtinId="5"/>
  </cellStyles>
  <dxfs count="8"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Lines="2" dropStyle="combo" dx="16" fmlaLink="H3" fmlaRange="R1:R2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845820</xdr:colOff>
          <xdr:row>1</xdr:row>
          <xdr:rowOff>182880</xdr:rowOff>
        </xdr:from>
        <xdr:to>
          <xdr:col>8</xdr:col>
          <xdr:colOff>220980</xdr:colOff>
          <xdr:row>2</xdr:row>
          <xdr:rowOff>182880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D0390-7981-47DD-A91E-0212969D5237}" name="Table2" displayName="Table2" ref="N10:Q13" totalsRowShown="0" headerRowDxfId="7" dataDxfId="6" tableBorderDxfId="5">
  <autoFilter ref="N10:Q13" xr:uid="{48DD0390-7981-47DD-A91E-0212969D5237}">
    <filterColumn colId="0" hiddenButton="1"/>
    <filterColumn colId="1" hiddenButton="1"/>
    <filterColumn colId="2" hiddenButton="1"/>
    <filterColumn colId="3" hiddenButton="1"/>
  </autoFilter>
  <tableColumns count="4">
    <tableColumn id="1" xr3:uid="{AD1C9315-6764-4DB0-9BB8-F21ED50CDE53}" name="Index (H3)" dataDxfId="4"/>
    <tableColumn id="2" xr3:uid="{8CBEF36F-EBF9-46A4-9B0E-91795F49F996}" name="Values" dataDxfId="3"/>
    <tableColumn id="3" xr3:uid="{F0784BD5-EE0B-417B-B453-A3CE5F01F550}" name="X" dataDxfId="2"/>
    <tableColumn id="4" xr3:uid="{035928BB-FC60-4DF5-B21F-E66E328471B0}" name="Y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53"/>
  <sheetViews>
    <sheetView tabSelected="1" zoomScaleNormal="100" workbookViewId="0">
      <selection activeCell="F37" sqref="F37"/>
    </sheetView>
  </sheetViews>
  <sheetFormatPr defaultColWidth="9.109375" defaultRowHeight="14.4" x14ac:dyDescent="0.3"/>
  <cols>
    <col min="1" max="1" width="2.6640625" style="11" customWidth="1"/>
    <col min="2" max="2" width="10.33203125" style="11" customWidth="1"/>
    <col min="3" max="3" width="9.88671875" style="11" customWidth="1"/>
    <col min="4" max="4" width="12.6640625" style="11" customWidth="1"/>
    <col min="5" max="5" width="15.6640625" style="11" customWidth="1"/>
    <col min="6" max="6" width="13.6640625" style="11" customWidth="1"/>
    <col min="7" max="8" width="11.109375" style="11" customWidth="1"/>
    <col min="9" max="9" width="13.44140625" style="11" customWidth="1"/>
    <col min="10" max="10" width="13" style="11" customWidth="1"/>
    <col min="11" max="11" width="12.5546875" style="11" customWidth="1"/>
    <col min="12" max="12" width="13.5546875" style="11" customWidth="1"/>
    <col min="13" max="13" width="10.88671875" style="11" customWidth="1"/>
    <col min="14" max="14" width="9.88671875" style="11" bestFit="1" customWidth="1"/>
    <col min="15" max="15" width="9.109375" style="11" customWidth="1"/>
    <col min="16" max="16" width="15" style="11" customWidth="1"/>
    <col min="17" max="17" width="21.88671875" style="11" customWidth="1"/>
    <col min="18" max="18" width="19.109375" style="11" customWidth="1"/>
    <col min="19" max="23" width="9.109375" style="11"/>
    <col min="24" max="24" width="15.33203125" style="11" bestFit="1" customWidth="1"/>
    <col min="25" max="16384" width="9.109375" style="11"/>
  </cols>
  <sheetData>
    <row r="1" spans="2:24" ht="21.6" customHeight="1" x14ac:dyDescent="0.45">
      <c r="E1" s="147" t="str">
        <f ca="1">IF(OR(AND(H3=1,'OC4000 Values'!M1-60&lt;NOW()),AND(H3=2,'OC3000 Values'!M1-60&lt;NOW())),"WARNING:STANDARD IS DUE","")</f>
        <v/>
      </c>
      <c r="I1" s="149" t="str">
        <f ca="1">IF(OR(AND(H3=1,'OC4000 Values'!M1&lt;NOW()),AND(H3=2,'OC3000 Values'!M1&lt;NOW())),"STANDARD OVERDUE","")</f>
        <v/>
      </c>
      <c r="R1" s="54" t="s">
        <v>0</v>
      </c>
    </row>
    <row r="2" spans="2:24" s="51" customFormat="1" ht="15" customHeight="1" x14ac:dyDescent="0.3">
      <c r="D2" s="52"/>
      <c r="G2" s="148" t="s">
        <v>1</v>
      </c>
      <c r="J2" s="52"/>
      <c r="R2" s="55" t="s">
        <v>2</v>
      </c>
      <c r="X2" s="63"/>
    </row>
    <row r="3" spans="2:24" ht="19.95" customHeight="1" thickBot="1" x14ac:dyDescent="0.5">
      <c r="C3" s="153" t="s">
        <v>190</v>
      </c>
      <c r="H3" s="31">
        <v>2</v>
      </c>
      <c r="I3" s="31"/>
    </row>
    <row r="4" spans="2:24" s="51" customFormat="1" ht="18.75" customHeight="1" thickBot="1" x14ac:dyDescent="0.35">
      <c r="C4" s="67"/>
      <c r="D4" s="68" t="s">
        <v>29</v>
      </c>
      <c r="E4" s="69"/>
      <c r="F4" s="69"/>
      <c r="G4" s="70"/>
      <c r="I4" s="67"/>
      <c r="J4" s="68" t="s">
        <v>30</v>
      </c>
      <c r="K4" s="146"/>
      <c r="L4" s="69"/>
      <c r="M4" s="70"/>
    </row>
    <row r="5" spans="2:24" ht="15" customHeight="1" thickBot="1" x14ac:dyDescent="0.35">
      <c r="C5" s="71"/>
      <c r="D5" s="92" t="s">
        <v>31</v>
      </c>
      <c r="E5" s="32"/>
      <c r="F5" s="12" t="s">
        <v>32</v>
      </c>
      <c r="G5" s="32" t="s">
        <v>4</v>
      </c>
      <c r="I5" s="71"/>
      <c r="J5" s="92" t="s">
        <v>31</v>
      </c>
      <c r="K5" s="32"/>
      <c r="L5" s="12" t="s">
        <v>32</v>
      </c>
      <c r="M5" s="32" t="s">
        <v>33</v>
      </c>
      <c r="P5" s="22"/>
    </row>
    <row r="6" spans="2:24" x14ac:dyDescent="0.3">
      <c r="C6" s="71"/>
      <c r="G6" s="72"/>
      <c r="I6" s="71"/>
      <c r="M6" s="72"/>
    </row>
    <row r="7" spans="2:24" s="12" customFormat="1" ht="15.75" customHeight="1" x14ac:dyDescent="0.3">
      <c r="C7" s="95" t="s">
        <v>34</v>
      </c>
      <c r="E7" s="92" t="s">
        <v>35</v>
      </c>
      <c r="G7" s="73"/>
      <c r="I7" s="95" t="s">
        <v>34</v>
      </c>
      <c r="K7" s="92" t="s">
        <v>35</v>
      </c>
      <c r="M7" s="73"/>
      <c r="P7" s="139"/>
    </row>
    <row r="8" spans="2:24" ht="15" thickBot="1" x14ac:dyDescent="0.35">
      <c r="C8" s="95" t="s">
        <v>36</v>
      </c>
      <c r="D8" s="11" t="s">
        <v>37</v>
      </c>
      <c r="E8" s="21" t="s">
        <v>38</v>
      </c>
      <c r="F8" s="11" t="s">
        <v>39</v>
      </c>
      <c r="G8" s="72" t="s">
        <v>40</v>
      </c>
      <c r="I8" s="95" t="s">
        <v>36</v>
      </c>
      <c r="J8" s="11" t="s">
        <v>37</v>
      </c>
      <c r="K8" s="22" t="s">
        <v>38</v>
      </c>
      <c r="L8" s="11" t="s">
        <v>39</v>
      </c>
      <c r="M8" s="72" t="s">
        <v>40</v>
      </c>
      <c r="P8" s="23"/>
    </row>
    <row r="9" spans="2:24" ht="15" thickBot="1" x14ac:dyDescent="0.35">
      <c r="B9" s="11">
        <v>1</v>
      </c>
      <c r="C9" s="163">
        <v>1</v>
      </c>
      <c r="D9" s="33"/>
      <c r="E9" s="23">
        <f ca="1">IFERROR(D9-VLOOKUP(I9,INDIRECT(
    IF($G$5="X",$P$9,$Q$9)
),4,FALSE),"")</f>
        <v>-5.3999999999998494E-5</v>
      </c>
      <c r="F9" s="22"/>
      <c r="G9" s="62" t="str">
        <f>IF(D9="","",E9-B9)</f>
        <v/>
      </c>
      <c r="H9" s="74">
        <f>D9-(VLOOKUP(C9,'OC1000 Values'!$C$6:$F$30,4,FALSE))</f>
        <v>0</v>
      </c>
      <c r="I9" s="163">
        <v>1</v>
      </c>
      <c r="J9" s="33"/>
      <c r="K9" s="23">
        <f ca="1">IFERROR(J9-VLOOKUP(I9,INDIRECT(
    IF($M$5="X",$P$9,$Q$9)
),4,FALSE),"")</f>
        <v>-2.6999999999999247E-5</v>
      </c>
      <c r="L9" s="22"/>
      <c r="M9" s="62" t="str">
        <f>IF(J9="","",K9-B9)</f>
        <v/>
      </c>
      <c r="P9" s="55" t="str" cm="1">
        <f t="array" ref="P9">INDEX(Table2[X], $H$3)</f>
        <v>'OC3000 Values'!$C$6:$F$30</v>
      </c>
      <c r="Q9" s="55" t="str" cm="1">
        <f t="array" ref="Q9">INDEX(Table2[Y], $H$3)</f>
        <v>'OC3000 Values'!$H$6:$K$18</v>
      </c>
    </row>
    <row r="10" spans="2:24" ht="15" thickBot="1" x14ac:dyDescent="0.35">
      <c r="B10" s="11">
        <v>2</v>
      </c>
      <c r="C10" s="93">
        <v>2</v>
      </c>
      <c r="D10" s="34"/>
      <c r="E10" s="23">
        <f t="shared" ref="E10:E20" ca="1" si="0">IFERROR(D10-VLOOKUP(I10,INDIRECT(
    IF($G$5="X",$P$9,$Q$9)
),4,FALSE),"")</f>
        <v>-7.1999999999849962E-5</v>
      </c>
      <c r="F10" s="23" t="str">
        <f>IF(D10="","",E10-E9-1)</f>
        <v/>
      </c>
      <c r="G10" s="62" t="str">
        <f t="shared" ref="G10:G20" si="1">IF(D10="","",E10-B10)</f>
        <v/>
      </c>
      <c r="H10" s="66"/>
      <c r="I10" s="163">
        <f>I9+1</f>
        <v>2</v>
      </c>
      <c r="J10" s="34"/>
      <c r="K10" s="23">
        <f t="shared" ref="K10:K11" ca="1" si="2">IFERROR(J10-VLOOKUP(I10,INDIRECT(
    IF($M$5="X",$P$9,$Q$9)
),4,FALSE),"")</f>
        <v>-4.2000000000097515E-5</v>
      </c>
      <c r="L10" s="23" t="str">
        <f>IF(J10="","",K10-K9-1)</f>
        <v/>
      </c>
      <c r="M10" s="23" t="str">
        <f t="shared" ref="M10:M20" si="3">IF(J10="","",K10-B10)</f>
        <v/>
      </c>
      <c r="N10" s="140" t="s">
        <v>41</v>
      </c>
      <c r="O10" s="140" t="s">
        <v>42</v>
      </c>
      <c r="P10" s="141" t="s">
        <v>4</v>
      </c>
      <c r="Q10" s="145" t="s">
        <v>33</v>
      </c>
    </row>
    <row r="11" spans="2:24" ht="15" thickBot="1" x14ac:dyDescent="0.35">
      <c r="B11" s="11">
        <v>3</v>
      </c>
      <c r="C11" s="93">
        <v>3</v>
      </c>
      <c r="D11" s="34"/>
      <c r="E11" s="23">
        <f t="shared" ca="1" si="0"/>
        <v>-1.5799999999988046E-4</v>
      </c>
      <c r="F11" s="23" t="str">
        <f t="shared" ref="F11:F20" si="4">IF(D11="","",E11-E10-1)</f>
        <v/>
      </c>
      <c r="G11" s="62" t="str">
        <f t="shared" si="1"/>
        <v/>
      </c>
      <c r="H11" s="66"/>
      <c r="I11" s="163">
        <f t="shared" ref="I11:I20" si="5">I10+1</f>
        <v>3</v>
      </c>
      <c r="J11" s="34"/>
      <c r="K11" s="23">
        <f t="shared" ca="1" si="2"/>
        <v>-6.4000000000064006E-5</v>
      </c>
      <c r="L11" s="23" t="str">
        <f t="shared" ref="L11:L20" si="6">IF(J11="","",K11-K10-1)</f>
        <v/>
      </c>
      <c r="M11" s="23" t="str">
        <f t="shared" si="3"/>
        <v/>
      </c>
      <c r="N11" s="140">
        <v>1</v>
      </c>
      <c r="O11" s="142" t="s">
        <v>0</v>
      </c>
      <c r="P11" s="143" t="s">
        <v>45</v>
      </c>
      <c r="Q11" s="143" t="s">
        <v>187</v>
      </c>
    </row>
    <row r="12" spans="2:24" ht="15" thickBot="1" x14ac:dyDescent="0.35">
      <c r="B12" s="11">
        <v>4</v>
      </c>
      <c r="C12" s="93">
        <v>4</v>
      </c>
      <c r="D12" s="34"/>
      <c r="E12" s="23">
        <f t="shared" ca="1" si="0"/>
        <v>-1.9100000000005224E-4</v>
      </c>
      <c r="F12" s="23" t="str">
        <f t="shared" si="4"/>
        <v/>
      </c>
      <c r="G12" s="62" t="str">
        <f t="shared" si="1"/>
        <v/>
      </c>
      <c r="H12" s="66"/>
      <c r="I12" s="163">
        <f t="shared" si="5"/>
        <v>4</v>
      </c>
      <c r="J12" s="34"/>
      <c r="K12" s="23">
        <f t="shared" ref="K12:K20" ca="1" si="7">IFERROR(J12-VLOOKUP(I12,INDIRECT(
    IF($M$5="X",$P$9,$Q$9)
),4,FALSE),"")</f>
        <v>-5.2000000000163027E-5</v>
      </c>
      <c r="L12" s="23" t="str">
        <f t="shared" si="6"/>
        <v/>
      </c>
      <c r="M12" s="23" t="str">
        <f t="shared" si="3"/>
        <v/>
      </c>
      <c r="N12" s="140">
        <v>2</v>
      </c>
      <c r="O12" s="142" t="s">
        <v>2</v>
      </c>
      <c r="P12" s="144" t="s">
        <v>43</v>
      </c>
      <c r="Q12" s="143" t="s">
        <v>44</v>
      </c>
    </row>
    <row r="13" spans="2:24" x14ac:dyDescent="0.3">
      <c r="B13" s="11">
        <v>5</v>
      </c>
      <c r="C13" s="93">
        <v>5</v>
      </c>
      <c r="D13" s="34"/>
      <c r="E13" s="23">
        <f t="shared" ca="1" si="0"/>
        <v>-1.9399999999958339E-4</v>
      </c>
      <c r="F13" s="23" t="str">
        <f t="shared" si="4"/>
        <v/>
      </c>
      <c r="G13" s="62" t="str">
        <f t="shared" si="1"/>
        <v/>
      </c>
      <c r="H13" s="66"/>
      <c r="I13" s="94">
        <f t="shared" si="5"/>
        <v>5</v>
      </c>
      <c r="J13" s="34"/>
      <c r="K13" s="23">
        <f t="shared" ca="1" si="7"/>
        <v>-6.4000000000064006E-5</v>
      </c>
      <c r="L13" s="23" t="str">
        <f t="shared" si="6"/>
        <v/>
      </c>
      <c r="M13" s="23" t="str">
        <f t="shared" si="3"/>
        <v/>
      </c>
      <c r="N13" s="140">
        <v>3</v>
      </c>
      <c r="O13" s="142" t="s">
        <v>8</v>
      </c>
      <c r="P13" s="144" t="s">
        <v>45</v>
      </c>
      <c r="Q13" s="143" t="s">
        <v>46</v>
      </c>
    </row>
    <row r="14" spans="2:24" x14ac:dyDescent="0.3">
      <c r="B14" s="11">
        <v>6</v>
      </c>
      <c r="C14" s="93">
        <f t="shared" ref="C14:C20" si="8">C13+1</f>
        <v>6</v>
      </c>
      <c r="D14" s="34"/>
      <c r="E14" s="23">
        <f t="shared" ca="1" si="0"/>
        <v>-2.3100000000031429E-4</v>
      </c>
      <c r="F14" s="23" t="str">
        <f t="shared" si="4"/>
        <v/>
      </c>
      <c r="G14" s="62" t="str">
        <f t="shared" si="1"/>
        <v/>
      </c>
      <c r="H14" s="66"/>
      <c r="I14" s="94">
        <f t="shared" si="5"/>
        <v>6</v>
      </c>
      <c r="J14" s="34"/>
      <c r="K14" s="23">
        <f t="shared" ca="1" si="7"/>
        <v>-2.7000000000221291E-5</v>
      </c>
      <c r="L14" s="23" t="str">
        <f t="shared" si="6"/>
        <v/>
      </c>
      <c r="M14" s="62" t="str">
        <f t="shared" si="3"/>
        <v/>
      </c>
      <c r="O14" s="64"/>
      <c r="P14" s="23"/>
    </row>
    <row r="15" spans="2:24" x14ac:dyDescent="0.3">
      <c r="B15" s="11">
        <v>7</v>
      </c>
      <c r="C15" s="93">
        <f t="shared" si="8"/>
        <v>7</v>
      </c>
      <c r="D15" s="34"/>
      <c r="E15" s="23">
        <f t="shared" ca="1" si="0"/>
        <v>-1.9599999999986295E-4</v>
      </c>
      <c r="F15" s="23" t="str">
        <f t="shared" si="4"/>
        <v/>
      </c>
      <c r="G15" s="62" t="str">
        <f t="shared" si="1"/>
        <v/>
      </c>
      <c r="H15" s="66"/>
      <c r="I15" s="94">
        <f t="shared" si="5"/>
        <v>7</v>
      </c>
      <c r="J15" s="34"/>
      <c r="K15" s="23" t="str">
        <f t="shared" ca="1" si="7"/>
        <v/>
      </c>
      <c r="L15" s="23" t="str">
        <f t="shared" si="6"/>
        <v/>
      </c>
      <c r="M15" s="62" t="str">
        <f t="shared" si="3"/>
        <v/>
      </c>
      <c r="P15" s="23"/>
    </row>
    <row r="16" spans="2:24" x14ac:dyDescent="0.3">
      <c r="B16" s="11">
        <v>8</v>
      </c>
      <c r="C16" s="93">
        <f t="shared" si="8"/>
        <v>8</v>
      </c>
      <c r="D16" s="34"/>
      <c r="E16" s="23">
        <f t="shared" ca="1" si="0"/>
        <v>-2.469999999998862E-4</v>
      </c>
      <c r="F16" s="23" t="str">
        <f t="shared" si="4"/>
        <v/>
      </c>
      <c r="G16" s="62" t="str">
        <f t="shared" si="1"/>
        <v/>
      </c>
      <c r="H16" s="66"/>
      <c r="I16" s="94">
        <f t="shared" si="5"/>
        <v>8</v>
      </c>
      <c r="J16" s="34"/>
      <c r="K16" s="23" t="str">
        <f t="shared" ca="1" si="7"/>
        <v/>
      </c>
      <c r="L16" s="23" t="str">
        <f t="shared" si="6"/>
        <v/>
      </c>
      <c r="M16" s="62" t="str">
        <f t="shared" si="3"/>
        <v/>
      </c>
      <c r="P16" s="23"/>
    </row>
    <row r="17" spans="2:29" x14ac:dyDescent="0.3">
      <c r="B17" s="11">
        <v>9</v>
      </c>
      <c r="C17" s="93">
        <f t="shared" si="8"/>
        <v>9</v>
      </c>
      <c r="D17" s="34"/>
      <c r="E17" s="23">
        <f t="shared" ca="1" si="0"/>
        <v>-2.5100000000044531E-4</v>
      </c>
      <c r="F17" s="23" t="str">
        <f t="shared" si="4"/>
        <v/>
      </c>
      <c r="G17" s="62" t="str">
        <f t="shared" si="1"/>
        <v/>
      </c>
      <c r="H17" s="66"/>
      <c r="I17" s="94">
        <f t="shared" si="5"/>
        <v>9</v>
      </c>
      <c r="J17" s="34"/>
      <c r="K17" s="23" t="str">
        <f t="shared" ca="1" si="7"/>
        <v/>
      </c>
      <c r="L17" s="23" t="str">
        <f>IF(J17="","",K17-K16-1)</f>
        <v/>
      </c>
      <c r="M17" s="62" t="str">
        <f t="shared" si="3"/>
        <v/>
      </c>
      <c r="P17" s="23"/>
    </row>
    <row r="18" spans="2:29" x14ac:dyDescent="0.3">
      <c r="B18" s="11">
        <v>10</v>
      </c>
      <c r="C18" s="93">
        <f t="shared" si="8"/>
        <v>10</v>
      </c>
      <c r="D18" s="34"/>
      <c r="E18" s="23">
        <f t="shared" ca="1" si="0"/>
        <v>-3.270000000004103E-4</v>
      </c>
      <c r="F18" s="23" t="str">
        <f t="shared" si="4"/>
        <v/>
      </c>
      <c r="G18" s="62" t="str">
        <f t="shared" si="1"/>
        <v/>
      </c>
      <c r="H18" s="66"/>
      <c r="I18" s="94">
        <f t="shared" si="5"/>
        <v>10</v>
      </c>
      <c r="J18" s="34"/>
      <c r="K18" s="23" t="str">
        <f t="shared" ca="1" si="7"/>
        <v/>
      </c>
      <c r="L18" s="23" t="str">
        <f t="shared" si="6"/>
        <v/>
      </c>
      <c r="M18" s="62" t="str">
        <f t="shared" si="3"/>
        <v/>
      </c>
      <c r="P18" s="23"/>
    </row>
    <row r="19" spans="2:29" x14ac:dyDescent="0.3">
      <c r="B19" s="11">
        <v>11</v>
      </c>
      <c r="C19" s="93">
        <f t="shared" si="8"/>
        <v>11</v>
      </c>
      <c r="D19" s="34"/>
      <c r="E19" s="23">
        <f t="shared" ca="1" si="0"/>
        <v>-3.3799999999928332E-4</v>
      </c>
      <c r="F19" s="23" t="str">
        <f t="shared" si="4"/>
        <v/>
      </c>
      <c r="G19" s="62" t="str">
        <f t="shared" si="1"/>
        <v/>
      </c>
      <c r="H19" s="66"/>
      <c r="I19" s="94">
        <f t="shared" si="5"/>
        <v>11</v>
      </c>
      <c r="J19" s="34"/>
      <c r="K19" s="23" t="str">
        <f t="shared" ca="1" si="7"/>
        <v/>
      </c>
      <c r="L19" s="23" t="str">
        <f t="shared" si="6"/>
        <v/>
      </c>
      <c r="M19" s="62" t="str">
        <f t="shared" si="3"/>
        <v/>
      </c>
      <c r="P19" s="23"/>
    </row>
    <row r="20" spans="2:29" ht="15" thickBot="1" x14ac:dyDescent="0.35">
      <c r="B20" s="11">
        <v>12</v>
      </c>
      <c r="C20" s="93">
        <f t="shared" si="8"/>
        <v>12</v>
      </c>
      <c r="D20" s="35"/>
      <c r="E20" s="23">
        <f t="shared" ca="1" si="0"/>
        <v>-3.7200000000048306E-4</v>
      </c>
      <c r="F20" s="23" t="str">
        <f t="shared" si="4"/>
        <v/>
      </c>
      <c r="G20" s="62" t="str">
        <f t="shared" si="1"/>
        <v/>
      </c>
      <c r="H20" s="66"/>
      <c r="I20" s="94">
        <f t="shared" si="5"/>
        <v>12</v>
      </c>
      <c r="J20" s="35"/>
      <c r="K20" s="23" t="str">
        <f t="shared" ca="1" si="7"/>
        <v/>
      </c>
      <c r="L20" s="23" t="str">
        <f t="shared" si="6"/>
        <v/>
      </c>
      <c r="M20" s="62" t="str">
        <f t="shared" si="3"/>
        <v/>
      </c>
      <c r="P20" s="23"/>
    </row>
    <row r="21" spans="2:29" ht="18.600000000000001" thickBot="1" x14ac:dyDescent="0.4">
      <c r="C21" s="19"/>
      <c r="D21" s="91"/>
      <c r="E21" s="91"/>
      <c r="F21" s="20"/>
      <c r="G21" s="24"/>
      <c r="H21" s="75"/>
      <c r="I21" s="71"/>
      <c r="J21" s="86"/>
      <c r="K21" s="86"/>
      <c r="M21" s="72"/>
    </row>
    <row r="22" spans="2:29" s="60" customFormat="1" ht="18" x14ac:dyDescent="0.35">
      <c r="C22" s="89"/>
      <c r="E22" s="87" t="s">
        <v>47</v>
      </c>
      <c r="F22" s="88">
        <f>MAX(E24:E26)</f>
        <v>0</v>
      </c>
      <c r="G22" s="90"/>
      <c r="I22" s="76"/>
      <c r="J22" s="77"/>
      <c r="K22" s="78" t="s">
        <v>47</v>
      </c>
      <c r="L22" s="79">
        <f>MAX(K24:K26)</f>
        <v>0</v>
      </c>
      <c r="M22" s="80"/>
    </row>
    <row r="23" spans="2:29" s="60" customFormat="1" ht="18.600000000000001" thickBot="1" x14ac:dyDescent="0.4">
      <c r="C23" s="81"/>
      <c r="D23" s="82"/>
      <c r="E23" s="83" t="s">
        <v>48</v>
      </c>
      <c r="F23" s="84">
        <f>MAX(F24:F26)</f>
        <v>0</v>
      </c>
      <c r="G23" s="85"/>
      <c r="I23" s="81"/>
      <c r="J23" s="82"/>
      <c r="K23" s="83" t="s">
        <v>48</v>
      </c>
      <c r="L23" s="84">
        <f>MAX(L24:L26)</f>
        <v>0</v>
      </c>
      <c r="M23" s="85"/>
    </row>
    <row r="24" spans="2:29" x14ac:dyDescent="0.3">
      <c r="D24" s="25" t="s">
        <v>49</v>
      </c>
      <c r="E24" s="26">
        <f>MAX(F10:F21)</f>
        <v>0</v>
      </c>
      <c r="F24" s="26">
        <f>MAX(G9:G21)</f>
        <v>0</v>
      </c>
      <c r="J24" s="25" t="s">
        <v>49</v>
      </c>
      <c r="K24" s="26">
        <f>MAX(L10:L21)</f>
        <v>0</v>
      </c>
      <c r="L24" s="26">
        <f>MAX(M9:M21)</f>
        <v>0</v>
      </c>
    </row>
    <row r="25" spans="2:29" x14ac:dyDescent="0.3">
      <c r="D25" s="25" t="s">
        <v>14</v>
      </c>
      <c r="E25" s="26">
        <f>MIN(F10:F20)</f>
        <v>0</v>
      </c>
      <c r="F25" s="26">
        <f>MIN(G9:G20)</f>
        <v>0</v>
      </c>
      <c r="J25" s="25" t="s">
        <v>14</v>
      </c>
      <c r="K25" s="26">
        <f>MIN(L10:L20)</f>
        <v>0</v>
      </c>
      <c r="L25" s="26">
        <f>MIN(M9:M20)</f>
        <v>0</v>
      </c>
    </row>
    <row r="26" spans="2:29" x14ac:dyDescent="0.3">
      <c r="D26" s="25" t="s">
        <v>50</v>
      </c>
      <c r="E26" s="26">
        <f>ABS(E25)</f>
        <v>0</v>
      </c>
      <c r="F26" s="26">
        <f>ABS(F25)</f>
        <v>0</v>
      </c>
      <c r="J26" s="25" t="s">
        <v>50</v>
      </c>
      <c r="K26" s="26">
        <f>ABS(K25)</f>
        <v>0</v>
      </c>
      <c r="L26" s="26">
        <f>ABS(L25)</f>
        <v>0</v>
      </c>
    </row>
    <row r="27" spans="2:29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</row>
    <row r="28" spans="2:29" s="154" customFormat="1" ht="21.6" thickBot="1" x14ac:dyDescent="0.45">
      <c r="B28" s="155"/>
      <c r="C28" s="155" t="s">
        <v>191</v>
      </c>
      <c r="D28" s="155"/>
      <c r="E28" s="155"/>
      <c r="F28" s="155"/>
      <c r="G28" s="155"/>
      <c r="H28" s="155"/>
      <c r="I28" s="155"/>
      <c r="J28" s="155" t="s">
        <v>192</v>
      </c>
      <c r="K28" s="155"/>
      <c r="L28" s="155"/>
      <c r="M28" s="155"/>
      <c r="N28" s="155"/>
      <c r="O28" s="155"/>
      <c r="P28" s="155"/>
      <c r="Q28" s="155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</row>
    <row r="29" spans="2:29" x14ac:dyDescent="0.3">
      <c r="D29" s="12" t="s">
        <v>3</v>
      </c>
      <c r="E29" s="138">
        <v>10</v>
      </c>
      <c r="F29" s="11" t="s">
        <v>4</v>
      </c>
      <c r="I29" s="61"/>
      <c r="J29" s="13"/>
      <c r="K29" s="14" t="s">
        <v>5</v>
      </c>
      <c r="L29" s="15"/>
      <c r="M29" s="11" t="s">
        <v>6</v>
      </c>
      <c r="O29" s="50" t="s">
        <v>7</v>
      </c>
      <c r="P29" s="16"/>
      <c r="Q29" s="16"/>
      <c r="R29" s="55" t="s">
        <v>8</v>
      </c>
      <c r="S29" s="159"/>
      <c r="T29" s="156"/>
      <c r="U29" s="156"/>
      <c r="V29" s="156"/>
      <c r="W29" s="156"/>
      <c r="X29" s="156" t="s">
        <v>9</v>
      </c>
      <c r="Y29" s="156"/>
      <c r="Z29" s="156"/>
      <c r="AA29" s="156"/>
      <c r="AB29" s="156"/>
      <c r="AC29" s="156"/>
    </row>
    <row r="30" spans="2:29" ht="15" thickBot="1" x14ac:dyDescent="0.35">
      <c r="D30" s="17" t="s">
        <v>10</v>
      </c>
      <c r="E30" s="138">
        <v>10</v>
      </c>
      <c r="F30" s="11" t="s">
        <v>4</v>
      </c>
      <c r="I30" s="61"/>
      <c r="J30" s="53" t="s">
        <v>11</v>
      </c>
      <c r="K30" s="22" t="s">
        <v>12</v>
      </c>
      <c r="L30" s="58" t="str">
        <f>IF($H$3=1,'OC1000 Values'!Q5,'OC3000 Values'!Q5)</f>
        <v>Dev.</v>
      </c>
      <c r="M30" s="11" t="s">
        <v>13</v>
      </c>
      <c r="N30" s="11" t="s">
        <v>14</v>
      </c>
      <c r="O30" s="11" t="s">
        <v>15</v>
      </c>
      <c r="P30" s="11" t="s">
        <v>16</v>
      </c>
      <c r="Q30" s="50" t="s">
        <v>193</v>
      </c>
      <c r="S30" s="156"/>
      <c r="T30" s="156" t="s">
        <v>17</v>
      </c>
      <c r="U30" s="156" t="s">
        <v>18</v>
      </c>
      <c r="V30" s="156" t="s">
        <v>19</v>
      </c>
      <c r="W30" s="156"/>
      <c r="X30" s="156" t="s">
        <v>13</v>
      </c>
      <c r="Y30" s="156" t="s">
        <v>14</v>
      </c>
      <c r="Z30" s="156" t="s">
        <v>15</v>
      </c>
      <c r="AA30" s="156"/>
      <c r="AB30" s="156" t="s">
        <v>194</v>
      </c>
      <c r="AC30" s="156"/>
    </row>
    <row r="31" spans="2:29" ht="15" thickBot="1" x14ac:dyDescent="0.35">
      <c r="B31" s="173" t="s">
        <v>20</v>
      </c>
      <c r="C31" s="175"/>
      <c r="D31" s="173" t="s">
        <v>21</v>
      </c>
      <c r="E31" s="174"/>
      <c r="F31" s="15" t="s">
        <v>22</v>
      </c>
      <c r="G31" s="18" t="s">
        <v>23</v>
      </c>
      <c r="H31" s="11" t="s">
        <v>24</v>
      </c>
      <c r="I31" s="61"/>
      <c r="J31" s="53">
        <v>15</v>
      </c>
      <c r="K31" s="22">
        <f>IF($H$3=1,'OC4000 Values'!P6,'OC3000 Values'!P6)</f>
        <v>14.998900000000001</v>
      </c>
      <c r="L31" s="58">
        <f>IF($H$3=1,'OC4000 Values'!Q6,'OC3000 Values'!Q6)</f>
        <v>-1.0999999999992127E-3</v>
      </c>
      <c r="M31" s="36"/>
      <c r="N31" s="37"/>
      <c r="O31" s="38"/>
      <c r="P31" s="64" t="str">
        <f>IF(M31&lt;&gt;"",CONCATENATE(X31,"° ",Y31,"' ",Z31,"'' "),"")</f>
        <v/>
      </c>
      <c r="Q31" s="162">
        <f>X31+AB31+AC31</f>
        <v>0</v>
      </c>
      <c r="R31" s="61"/>
      <c r="S31" s="160">
        <f>ABS(V31)</f>
        <v>0</v>
      </c>
      <c r="T31" s="161">
        <f>IF($H$3=1,'OC4000 Values'!V6,'OC3000 Values'!V6)</f>
        <v>53996.04</v>
      </c>
      <c r="U31" s="156">
        <f t="shared" ref="U31:U42" si="9">O31+(N31*60)+(M31*60*60)</f>
        <v>0</v>
      </c>
      <c r="V31" s="156">
        <f>IF(U31=0,0,U31-T31)</f>
        <v>0</v>
      </c>
      <c r="W31" s="156">
        <f>IF(T31&gt;U31,-1,1)</f>
        <v>-1</v>
      </c>
      <c r="X31" s="156">
        <f>IF(W31=1,ROUNDDOWN(V31/60/60,0),ROUNDDOWN(V31/60/60,0))</f>
        <v>0</v>
      </c>
      <c r="Y31" s="156">
        <f>IF(W31=1,ROUNDDOWN((V31/60)-(X31*60),0),ROUNDDOWN((V31/60)-(X31*60),0))</f>
        <v>0</v>
      </c>
      <c r="Z31" s="156">
        <f>ROUND(V31-(Y31*60)-(X31*60*60),1)</f>
        <v>0</v>
      </c>
      <c r="AA31" s="156" t="str">
        <f>P31</f>
        <v/>
      </c>
      <c r="AB31" s="156">
        <f>Y31/60</f>
        <v>0</v>
      </c>
      <c r="AC31" s="156">
        <f>Z31/60/60</f>
        <v>0</v>
      </c>
    </row>
    <row r="32" spans="2:29" ht="15" thickBot="1" x14ac:dyDescent="0.35">
      <c r="B32" s="167" t="s">
        <v>25</v>
      </c>
      <c r="C32" s="168"/>
      <c r="D32" s="171">
        <f>IF($H$3=1,$E$30*(VLOOKUP(B32,'OC1000 Values'!$L$5:$M$27,2,FALSE)),$E$30*(VLOOKUP(B32,'OC3000 Values'!$L$5:$M$27,2,FALSE)))</f>
        <v>2.4988999999999999</v>
      </c>
      <c r="E32" s="172"/>
      <c r="F32" s="137"/>
      <c r="G32" s="48" t="str">
        <f>IF(I32&lt;&gt;"",((I32-D32)/D32),"")</f>
        <v/>
      </c>
      <c r="H32" s="27" t="str">
        <f>IF(F32&lt;&gt;"",0.5%,"")</f>
        <v/>
      </c>
      <c r="I32" s="156" t="str">
        <f>IF(F32&lt;&gt;"",F32*$E$29,"")</f>
        <v/>
      </c>
      <c r="J32" s="53">
        <v>30</v>
      </c>
      <c r="K32" s="22">
        <f>IF($H$3=1,'OC4000 Values'!P7,'OC3000 Values'!P7)</f>
        <v>29.996700000000001</v>
      </c>
      <c r="L32" s="58">
        <f>IF($H$3=1,'OC4000 Values'!Q7,'OC3000 Values'!Q7)</f>
        <v>-3.2999999999994145E-3</v>
      </c>
      <c r="M32" s="39"/>
      <c r="N32" s="40"/>
      <c r="O32" s="41"/>
      <c r="P32" s="64" t="str">
        <f t="shared" ref="P32:P42" si="10">IF(M32&lt;&gt;"",CONCATENATE(X32,"° ",Y32,"' ",Z32,"'' "),"")</f>
        <v/>
      </c>
      <c r="Q32" s="162">
        <f t="shared" ref="Q32:Q42" si="11">X32+AB32+AC32</f>
        <v>0</v>
      </c>
      <c r="R32" s="61"/>
      <c r="S32" s="160">
        <f t="shared" ref="S32:S42" si="12">ABS(V32)</f>
        <v>0</v>
      </c>
      <c r="T32" s="161">
        <f>IF($H$3=1,'OC4000 Values'!V7,'OC3000 Values'!V7)</f>
        <v>107988.12</v>
      </c>
      <c r="U32" s="156">
        <f t="shared" si="9"/>
        <v>0</v>
      </c>
      <c r="V32" s="156">
        <f t="shared" ref="V32:V42" si="13">IF(U32=0,0,U32-T32)</f>
        <v>0</v>
      </c>
      <c r="W32" s="156">
        <f t="shared" ref="W32:W42" si="14">IF(T32&gt;U32,-1,1)</f>
        <v>-1</v>
      </c>
      <c r="X32" s="156">
        <f t="shared" ref="X32:X42" si="15">IF(W32=1,ROUNDDOWN(V32/60/60,0),ROUNDDOWN(V32/60/60,0))</f>
        <v>0</v>
      </c>
      <c r="Y32" s="156">
        <f t="shared" ref="Y32:Y42" si="16">IF(W32=1,ROUNDDOWN((V32/60)-(X32*60),0),ROUNDDOWN((V32/60)-(X32*60),0))</f>
        <v>0</v>
      </c>
      <c r="Z32" s="156">
        <f t="shared" ref="Z32:Z42" si="17">ROUND(V32-(Y32*60)-(X32*60*60),1)</f>
        <v>0</v>
      </c>
      <c r="AA32" s="156" t="str">
        <f t="shared" ref="AA32:AA42" si="18">P32</f>
        <v/>
      </c>
      <c r="AB32" s="156">
        <f t="shared" ref="AB32:AB42" si="19">Y32/60</f>
        <v>0</v>
      </c>
      <c r="AC32" s="156">
        <f t="shared" ref="AC32:AC42" si="20">Z32/60/60</f>
        <v>0</v>
      </c>
    </row>
    <row r="33" spans="2:29" ht="15" thickBot="1" x14ac:dyDescent="0.35">
      <c r="B33" s="167" t="s">
        <v>26</v>
      </c>
      <c r="C33" s="168"/>
      <c r="D33" s="171">
        <f>IF($H$3=1,$E$30*(VLOOKUP(B33,'OC1000 Values'!$L$5:$M$27,2,FALSE)),$E$30*(VLOOKUP(B33,'OC3000 Values'!$L$5:$M$27,2,FALSE)))</f>
        <v>6.2488000000000001</v>
      </c>
      <c r="E33" s="172"/>
      <c r="F33" s="137"/>
      <c r="G33" s="48" t="str">
        <f t="shared" ref="G33:G43" si="21">IF(I33&lt;&gt;"",((I33-D33)/D33),"")</f>
        <v/>
      </c>
      <c r="H33" s="27" t="str">
        <f>IF(F33&lt;&gt;"",0.5%,"")</f>
        <v/>
      </c>
      <c r="I33" s="156" t="str">
        <f t="shared" ref="I33:I43" si="22">IF(F33&lt;&gt;"",F33*$E$29,"")</f>
        <v/>
      </c>
      <c r="J33" s="53">
        <v>45</v>
      </c>
      <c r="K33" s="22">
        <f>IF($H$3=1,'OC4000 Values'!P8,'OC3000 Values'!P8)</f>
        <v>44.996299999999998</v>
      </c>
      <c r="L33" s="58">
        <f>IF($H$3=1,'OC4000 Values'!Q8,'OC3000 Values'!Q8)</f>
        <v>-3.700000000002035E-3</v>
      </c>
      <c r="M33" s="39"/>
      <c r="N33" s="40"/>
      <c r="O33" s="41"/>
      <c r="P33" s="64" t="str">
        <f t="shared" si="10"/>
        <v/>
      </c>
      <c r="Q33" s="162">
        <f t="shared" si="11"/>
        <v>0</v>
      </c>
      <c r="R33" s="61"/>
      <c r="S33" s="160">
        <f t="shared" si="12"/>
        <v>0</v>
      </c>
      <c r="T33" s="161">
        <f>IF($H$3=1,'OC4000 Values'!V8,'OC3000 Values'!V8)</f>
        <v>161986.68</v>
      </c>
      <c r="U33" s="156">
        <f t="shared" si="9"/>
        <v>0</v>
      </c>
      <c r="V33" s="156">
        <f t="shared" si="13"/>
        <v>0</v>
      </c>
      <c r="W33" s="156">
        <f t="shared" si="14"/>
        <v>-1</v>
      </c>
      <c r="X33" s="156">
        <f t="shared" si="15"/>
        <v>0</v>
      </c>
      <c r="Y33" s="156">
        <f t="shared" si="16"/>
        <v>0</v>
      </c>
      <c r="Z33" s="156">
        <f t="shared" si="17"/>
        <v>0</v>
      </c>
      <c r="AA33" s="156" t="str">
        <f t="shared" si="18"/>
        <v/>
      </c>
      <c r="AB33" s="156">
        <f t="shared" si="19"/>
        <v>0</v>
      </c>
      <c r="AC33" s="156">
        <f t="shared" si="20"/>
        <v>0</v>
      </c>
    </row>
    <row r="34" spans="2:29" ht="15" thickBot="1" x14ac:dyDescent="0.35">
      <c r="B34" s="167" t="s">
        <v>27</v>
      </c>
      <c r="C34" s="168"/>
      <c r="D34" s="171">
        <f>IF($H$3=1,$E$30*(VLOOKUP(B34,'OC1000 Values'!$L$5:$M$27,2,FALSE)),$E$30*(VLOOKUP(B34,'OC3000 Values'!$L$5:$M$27,2,FALSE)))</f>
        <v>0.62390000000000001</v>
      </c>
      <c r="E34" s="172"/>
      <c r="F34" s="137"/>
      <c r="G34" s="48" t="str">
        <f t="shared" si="21"/>
        <v/>
      </c>
      <c r="H34" s="27" t="str">
        <f t="shared" ref="H34:H43" si="23">IF(F34&lt;&gt;"",0.5%,"")</f>
        <v/>
      </c>
      <c r="I34" s="156" t="str">
        <f t="shared" si="22"/>
        <v/>
      </c>
      <c r="J34" s="53">
        <v>60</v>
      </c>
      <c r="K34" s="22">
        <f>IF($H$3=1,'OC4000 Values'!P9,'OC3000 Values'!P9)</f>
        <v>59.996200000000002</v>
      </c>
      <c r="L34" s="58">
        <f>IF($H$3=1,'OC4000 Values'!Q9,'OC3000 Values'!Q9)</f>
        <v>-3.7999999999982492E-3</v>
      </c>
      <c r="M34" s="39"/>
      <c r="N34" s="40"/>
      <c r="O34" s="41"/>
      <c r="P34" s="64" t="str">
        <f t="shared" si="10"/>
        <v/>
      </c>
      <c r="Q34" s="162">
        <f t="shared" si="11"/>
        <v>0</v>
      </c>
      <c r="R34" s="61"/>
      <c r="S34" s="160">
        <f t="shared" si="12"/>
        <v>0</v>
      </c>
      <c r="T34" s="161">
        <f>IF($H$3=1,'OC4000 Values'!V9,'OC3000 Values'!V9)</f>
        <v>215986.32</v>
      </c>
      <c r="U34" s="156">
        <f t="shared" si="9"/>
        <v>0</v>
      </c>
      <c r="V34" s="156">
        <f t="shared" si="13"/>
        <v>0</v>
      </c>
      <c r="W34" s="156">
        <f t="shared" si="14"/>
        <v>-1</v>
      </c>
      <c r="X34" s="156">
        <f t="shared" si="15"/>
        <v>0</v>
      </c>
      <c r="Y34" s="156">
        <f t="shared" si="16"/>
        <v>0</v>
      </c>
      <c r="Z34" s="156">
        <f t="shared" si="17"/>
        <v>0</v>
      </c>
      <c r="AA34" s="156" t="str">
        <f t="shared" si="18"/>
        <v/>
      </c>
      <c r="AB34" s="156">
        <f t="shared" si="19"/>
        <v>0</v>
      </c>
      <c r="AC34" s="156">
        <f t="shared" si="20"/>
        <v>0</v>
      </c>
    </row>
    <row r="35" spans="2:29" ht="15" thickBot="1" x14ac:dyDescent="0.35">
      <c r="B35" s="167" t="s">
        <v>28</v>
      </c>
      <c r="C35" s="168"/>
      <c r="D35" s="171">
        <f>IF($H$3=1,$E$30*(VLOOKUP(B35,'OC1000 Values'!$L$5:$M$27,2,FALSE)),$E$30*(VLOOKUP(B35,'OC3000 Values'!$L$5:$M$27,2,FALSE)))</f>
        <v>2.4990999999999999</v>
      </c>
      <c r="E35" s="172"/>
      <c r="F35" s="137"/>
      <c r="G35" s="48" t="str">
        <f t="shared" si="21"/>
        <v/>
      </c>
      <c r="H35" s="27" t="str">
        <f t="shared" si="23"/>
        <v/>
      </c>
      <c r="I35" s="156" t="str">
        <f t="shared" si="22"/>
        <v/>
      </c>
      <c r="J35" s="53">
        <v>75</v>
      </c>
      <c r="K35" s="22">
        <f>IF($H$3=1,'OC4000 Values'!P10,'OC3000 Values'!P10)</f>
        <v>74.996899999999997</v>
      </c>
      <c r="L35" s="58">
        <f>IF($H$3=1,'OC4000 Values'!Q10,'OC3000 Values'!Q10)</f>
        <v>-3.1000000000034333E-3</v>
      </c>
      <c r="M35" s="39"/>
      <c r="N35" s="40"/>
      <c r="O35" s="41"/>
      <c r="P35" s="64" t="str">
        <f t="shared" si="10"/>
        <v/>
      </c>
      <c r="Q35" s="162">
        <f t="shared" si="11"/>
        <v>0</v>
      </c>
      <c r="R35" s="61"/>
      <c r="S35" s="160">
        <f t="shared" si="12"/>
        <v>0</v>
      </c>
      <c r="T35" s="161">
        <f>IF($H$3=1,'OC4000 Values'!V10,'OC3000 Values'!V10)</f>
        <v>269988.83999999997</v>
      </c>
      <c r="U35" s="156">
        <f t="shared" si="9"/>
        <v>0</v>
      </c>
      <c r="V35" s="156">
        <f t="shared" si="13"/>
        <v>0</v>
      </c>
      <c r="W35" s="156">
        <f t="shared" si="14"/>
        <v>-1</v>
      </c>
      <c r="X35" s="156">
        <f t="shared" si="15"/>
        <v>0</v>
      </c>
      <c r="Y35" s="156">
        <f t="shared" si="16"/>
        <v>0</v>
      </c>
      <c r="Z35" s="156">
        <f t="shared" si="17"/>
        <v>0</v>
      </c>
      <c r="AA35" s="156" t="str">
        <f t="shared" si="18"/>
        <v/>
      </c>
      <c r="AB35" s="156">
        <f t="shared" si="19"/>
        <v>0</v>
      </c>
      <c r="AC35" s="156">
        <f t="shared" si="20"/>
        <v>0</v>
      </c>
    </row>
    <row r="36" spans="2:29" ht="15" thickBot="1" x14ac:dyDescent="0.35">
      <c r="B36" s="167"/>
      <c r="C36" s="168"/>
      <c r="D36" s="171" t="e">
        <f>IF($H$3=1,$E$30*(VLOOKUP(B36,'OC1000 Values'!$L$5:$M$27,2,FALSE)),$E$30*(VLOOKUP(B36,'OC3000 Values'!$L$5:$M$27,2,FALSE)))</f>
        <v>#N/A</v>
      </c>
      <c r="E36" s="172"/>
      <c r="F36" s="137"/>
      <c r="G36" s="48" t="str">
        <f t="shared" si="21"/>
        <v/>
      </c>
      <c r="H36" s="27" t="str">
        <f t="shared" si="23"/>
        <v/>
      </c>
      <c r="I36" s="156" t="str">
        <f t="shared" si="22"/>
        <v/>
      </c>
      <c r="J36" s="53">
        <v>90</v>
      </c>
      <c r="K36" s="22">
        <f>IF($H$3=1,'OC4000 Values'!P11,'OC3000 Values'!P11)</f>
        <v>89.999600000000001</v>
      </c>
      <c r="L36" s="58">
        <f>IF($H$3=1,'OC4000 Values'!Q11,'OC3000 Values'!Q11)</f>
        <v>-3.9999999999906777E-4</v>
      </c>
      <c r="M36" s="39"/>
      <c r="N36" s="40"/>
      <c r="O36" s="41"/>
      <c r="P36" s="64" t="str">
        <f t="shared" si="10"/>
        <v/>
      </c>
      <c r="Q36" s="162">
        <f t="shared" si="11"/>
        <v>0</v>
      </c>
      <c r="R36" s="61"/>
      <c r="S36" s="160">
        <f t="shared" si="12"/>
        <v>0</v>
      </c>
      <c r="T36" s="161">
        <f>IF($H$3=1,'OC4000 Values'!V11,'OC3000 Values'!V11)</f>
        <v>323998.56</v>
      </c>
      <c r="U36" s="156">
        <f t="shared" si="9"/>
        <v>0</v>
      </c>
      <c r="V36" s="156">
        <f t="shared" si="13"/>
        <v>0</v>
      </c>
      <c r="W36" s="156">
        <f t="shared" si="14"/>
        <v>-1</v>
      </c>
      <c r="X36" s="156">
        <f t="shared" si="15"/>
        <v>0</v>
      </c>
      <c r="Y36" s="156">
        <f t="shared" si="16"/>
        <v>0</v>
      </c>
      <c r="Z36" s="156">
        <f t="shared" si="17"/>
        <v>0</v>
      </c>
      <c r="AA36" s="156" t="str">
        <f t="shared" si="18"/>
        <v/>
      </c>
      <c r="AB36" s="156">
        <f t="shared" si="19"/>
        <v>0</v>
      </c>
      <c r="AC36" s="156">
        <f t="shared" si="20"/>
        <v>0</v>
      </c>
    </row>
    <row r="37" spans="2:29" ht="15" thickBot="1" x14ac:dyDescent="0.35">
      <c r="B37" s="167"/>
      <c r="C37" s="168"/>
      <c r="D37" s="171" t="e">
        <f>IF($H$3=1,$E$30*(VLOOKUP(B37,'OC1000 Values'!$L$5:$M$27,2,FALSE)),$E$30*(VLOOKUP(B37,'OC3000 Values'!$L$5:$M$27,2,FALSE)))</f>
        <v>#N/A</v>
      </c>
      <c r="E37" s="172"/>
      <c r="F37" s="137"/>
      <c r="G37" s="48" t="str">
        <f t="shared" si="21"/>
        <v/>
      </c>
      <c r="H37" s="27" t="str">
        <f t="shared" si="23"/>
        <v/>
      </c>
      <c r="I37" s="156" t="str">
        <f t="shared" si="22"/>
        <v/>
      </c>
      <c r="J37" s="53">
        <v>105</v>
      </c>
      <c r="K37" s="22">
        <f>IF($H$3=1,'OC4000 Values'!P12,'OC3000 Values'!P12)</f>
        <v>104.997</v>
      </c>
      <c r="L37" s="58">
        <f>IF($H$3=1,'OC4000 Values'!Q12,'OC3000 Values'!Q12)</f>
        <v>-3.0000000000001137E-3</v>
      </c>
      <c r="M37" s="39"/>
      <c r="N37" s="40"/>
      <c r="O37" s="41"/>
      <c r="P37" s="64" t="str">
        <f t="shared" si="10"/>
        <v/>
      </c>
      <c r="Q37" s="162">
        <f t="shared" si="11"/>
        <v>0</v>
      </c>
      <c r="R37" s="61"/>
      <c r="S37" s="160">
        <f t="shared" si="12"/>
        <v>0</v>
      </c>
      <c r="T37" s="161">
        <f>IF($H$3=1,'OC4000 Values'!V12,'OC3000 Values'!V12)</f>
        <v>377989.2</v>
      </c>
      <c r="U37" s="156">
        <f t="shared" si="9"/>
        <v>0</v>
      </c>
      <c r="V37" s="156">
        <f t="shared" si="13"/>
        <v>0</v>
      </c>
      <c r="W37" s="156">
        <f t="shared" si="14"/>
        <v>-1</v>
      </c>
      <c r="X37" s="156">
        <f t="shared" si="15"/>
        <v>0</v>
      </c>
      <c r="Y37" s="156">
        <f t="shared" si="16"/>
        <v>0</v>
      </c>
      <c r="Z37" s="156">
        <f t="shared" si="17"/>
        <v>0</v>
      </c>
      <c r="AA37" s="156" t="str">
        <f t="shared" si="18"/>
        <v/>
      </c>
      <c r="AB37" s="156">
        <f t="shared" si="19"/>
        <v>0</v>
      </c>
      <c r="AC37" s="156">
        <f t="shared" si="20"/>
        <v>0</v>
      </c>
    </row>
    <row r="38" spans="2:29" ht="15" thickBot="1" x14ac:dyDescent="0.35">
      <c r="B38" s="167"/>
      <c r="C38" s="168"/>
      <c r="D38" s="171" t="e">
        <f>IF($H$3=1,$E$30*(VLOOKUP(B38,'OC1000 Values'!$L$5:$M$27,2,FALSE)),$E$30*(VLOOKUP(B38,'OC3000 Values'!$L$5:$M$27,2,FALSE)))</f>
        <v>#N/A</v>
      </c>
      <c r="E38" s="172"/>
      <c r="F38" s="137"/>
      <c r="G38" s="48" t="str">
        <f t="shared" si="21"/>
        <v/>
      </c>
      <c r="H38" s="27" t="str">
        <f t="shared" si="23"/>
        <v/>
      </c>
      <c r="I38" s="156" t="str">
        <f t="shared" si="22"/>
        <v/>
      </c>
      <c r="J38" s="53">
        <v>120</v>
      </c>
      <c r="K38" s="22">
        <f>IF($H$3=1,'OC4000 Values'!P13,'OC3000 Values'!P13)</f>
        <v>119.99630000000001</v>
      </c>
      <c r="L38" s="58">
        <f>IF($H$3=1,'OC4000 Values'!Q13,'OC3000 Values'!Q13)</f>
        <v>-3.6999999999949296E-3</v>
      </c>
      <c r="M38" s="39"/>
      <c r="N38" s="40"/>
      <c r="O38" s="41"/>
      <c r="P38" s="64" t="str">
        <f t="shared" si="10"/>
        <v/>
      </c>
      <c r="Q38" s="162">
        <f t="shared" si="11"/>
        <v>0</v>
      </c>
      <c r="R38" s="61"/>
      <c r="S38" s="160">
        <f t="shared" si="12"/>
        <v>0</v>
      </c>
      <c r="T38" s="161">
        <f>IF($H$3=1,'OC4000 Values'!V13,'OC3000 Values'!V13)</f>
        <v>431986.68</v>
      </c>
      <c r="U38" s="156">
        <f t="shared" si="9"/>
        <v>0</v>
      </c>
      <c r="V38" s="156">
        <f t="shared" si="13"/>
        <v>0</v>
      </c>
      <c r="W38" s="156">
        <f t="shared" si="14"/>
        <v>-1</v>
      </c>
      <c r="X38" s="156">
        <f t="shared" si="15"/>
        <v>0</v>
      </c>
      <c r="Y38" s="156">
        <f t="shared" si="16"/>
        <v>0</v>
      </c>
      <c r="Z38" s="156">
        <f t="shared" si="17"/>
        <v>0</v>
      </c>
      <c r="AA38" s="156" t="str">
        <f t="shared" si="18"/>
        <v/>
      </c>
      <c r="AB38" s="156">
        <f t="shared" si="19"/>
        <v>0</v>
      </c>
      <c r="AC38" s="156">
        <f t="shared" si="20"/>
        <v>0</v>
      </c>
    </row>
    <row r="39" spans="2:29" ht="15" thickBot="1" x14ac:dyDescent="0.35">
      <c r="B39" s="167"/>
      <c r="C39" s="168"/>
      <c r="D39" s="171" t="e">
        <f>IF($H$3=1,$E$30*(VLOOKUP(B39,'OC1000 Values'!$L$5:$M$27,2,FALSE)),$E$30*(VLOOKUP(B39,'OC3000 Values'!$L$5:$M$27,2,FALSE)))</f>
        <v>#N/A</v>
      </c>
      <c r="E39" s="172"/>
      <c r="F39" s="137"/>
      <c r="G39" s="48" t="str">
        <f t="shared" si="21"/>
        <v/>
      </c>
      <c r="H39" s="27" t="str">
        <f t="shared" si="23"/>
        <v/>
      </c>
      <c r="I39" s="156" t="str">
        <f t="shared" si="22"/>
        <v/>
      </c>
      <c r="J39" s="53">
        <v>135</v>
      </c>
      <c r="K39" s="22">
        <f>IF($H$3=1,'OC4000 Values'!P14,'OC3000 Values'!P14)</f>
        <v>134.9975</v>
      </c>
      <c r="L39" s="58">
        <f>IF($H$3=1,'OC4000 Values'!Q14,'OC3000 Values'!Q14)</f>
        <v>-2.4999999999977263E-3</v>
      </c>
      <c r="M39" s="39"/>
      <c r="N39" s="40"/>
      <c r="O39" s="41"/>
      <c r="P39" s="64" t="str">
        <f t="shared" si="10"/>
        <v/>
      </c>
      <c r="Q39" s="162">
        <f t="shared" si="11"/>
        <v>0</v>
      </c>
      <c r="R39" s="61"/>
      <c r="S39" s="160">
        <f t="shared" si="12"/>
        <v>0</v>
      </c>
      <c r="T39" s="161">
        <f>IF($H$3=1,'OC4000 Values'!V14,'OC3000 Values'!V14)</f>
        <v>485991</v>
      </c>
      <c r="U39" s="156">
        <f t="shared" si="9"/>
        <v>0</v>
      </c>
      <c r="V39" s="156">
        <f t="shared" si="13"/>
        <v>0</v>
      </c>
      <c r="W39" s="156">
        <f t="shared" si="14"/>
        <v>-1</v>
      </c>
      <c r="X39" s="156">
        <f t="shared" si="15"/>
        <v>0</v>
      </c>
      <c r="Y39" s="156">
        <f t="shared" si="16"/>
        <v>0</v>
      </c>
      <c r="Z39" s="156">
        <f t="shared" si="17"/>
        <v>0</v>
      </c>
      <c r="AA39" s="156" t="str">
        <f t="shared" si="18"/>
        <v/>
      </c>
      <c r="AB39" s="156">
        <f t="shared" si="19"/>
        <v>0</v>
      </c>
      <c r="AC39" s="156">
        <f t="shared" si="20"/>
        <v>0</v>
      </c>
    </row>
    <row r="40" spans="2:29" ht="15" thickBot="1" x14ac:dyDescent="0.35">
      <c r="B40" s="167"/>
      <c r="C40" s="168"/>
      <c r="D40" s="171" t="e">
        <f>IF($H$3=1,$E$30*(VLOOKUP(B40,'OC1000 Values'!$L$5:$M$27,2,FALSE)),$E$30*(VLOOKUP(B40,'OC3000 Values'!$L$5:$M$27,2,FALSE)))</f>
        <v>#N/A</v>
      </c>
      <c r="E40" s="172"/>
      <c r="F40" s="137"/>
      <c r="G40" s="48" t="str">
        <f t="shared" si="21"/>
        <v/>
      </c>
      <c r="H40" s="27" t="str">
        <f t="shared" si="23"/>
        <v/>
      </c>
      <c r="I40" s="156" t="str">
        <f t="shared" si="22"/>
        <v/>
      </c>
      <c r="J40" s="53">
        <v>150</v>
      </c>
      <c r="K40" s="22">
        <f>IF($H$3=1,'OC4000 Values'!P15,'OC3000 Values'!P15)</f>
        <v>149.99879999999999</v>
      </c>
      <c r="L40" s="58">
        <f>IF($H$3=1,'OC4000 Values'!Q15,'OC3000 Values'!Q15)</f>
        <v>-1.2000000000114142E-3</v>
      </c>
      <c r="M40" s="39"/>
      <c r="N40" s="40"/>
      <c r="O40" s="41"/>
      <c r="P40" s="64" t="str">
        <f t="shared" si="10"/>
        <v/>
      </c>
      <c r="Q40" s="162">
        <f t="shared" si="11"/>
        <v>0</v>
      </c>
      <c r="R40" s="61"/>
      <c r="S40" s="160">
        <f t="shared" si="12"/>
        <v>0</v>
      </c>
      <c r="T40" s="161">
        <f>IF($H$3=1,'OC4000 Values'!V15,'OC3000 Values'!V15)</f>
        <v>539995.67999999993</v>
      </c>
      <c r="U40" s="156">
        <f t="shared" si="9"/>
        <v>0</v>
      </c>
      <c r="V40" s="156">
        <f t="shared" si="13"/>
        <v>0</v>
      </c>
      <c r="W40" s="156">
        <f t="shared" si="14"/>
        <v>-1</v>
      </c>
      <c r="X40" s="156">
        <f t="shared" si="15"/>
        <v>0</v>
      </c>
      <c r="Y40" s="156">
        <f t="shared" si="16"/>
        <v>0</v>
      </c>
      <c r="Z40" s="156">
        <f t="shared" si="17"/>
        <v>0</v>
      </c>
      <c r="AA40" s="156" t="str">
        <f t="shared" si="18"/>
        <v/>
      </c>
      <c r="AB40" s="156">
        <f t="shared" si="19"/>
        <v>0</v>
      </c>
      <c r="AC40" s="156">
        <f t="shared" si="20"/>
        <v>0</v>
      </c>
    </row>
    <row r="41" spans="2:29" ht="15" thickBot="1" x14ac:dyDescent="0.35">
      <c r="B41" s="167"/>
      <c r="C41" s="168"/>
      <c r="D41" s="171" t="e">
        <f>IF($H$3=1,$E$30*(VLOOKUP(B41,'OC1000 Values'!$L$5:$M$27,2,FALSE)),$E$30*(VLOOKUP(B41,'OC3000 Values'!$L$5:$M$27,2,FALSE)))</f>
        <v>#N/A</v>
      </c>
      <c r="E41" s="172"/>
      <c r="F41" s="137"/>
      <c r="G41" s="48" t="str">
        <f t="shared" si="21"/>
        <v/>
      </c>
      <c r="H41" s="27" t="str">
        <f t="shared" si="23"/>
        <v/>
      </c>
      <c r="I41" s="156" t="str">
        <f t="shared" si="22"/>
        <v/>
      </c>
      <c r="J41" s="53">
        <v>165</v>
      </c>
      <c r="K41" s="22">
        <f>IF($H$3=1,'OC4000 Values'!P16,'OC3000 Values'!P16)</f>
        <v>164.9941</v>
      </c>
      <c r="L41" s="58">
        <f>IF($H$3=1,'OC4000 Values'!Q16,'OC3000 Values'!Q16)</f>
        <v>-5.8999999999969077E-3</v>
      </c>
      <c r="M41" s="39"/>
      <c r="N41" s="40"/>
      <c r="O41" s="41"/>
      <c r="P41" s="64" t="str">
        <f t="shared" si="10"/>
        <v/>
      </c>
      <c r="Q41" s="162">
        <f t="shared" si="11"/>
        <v>0</v>
      </c>
      <c r="R41" s="61"/>
      <c r="S41" s="160">
        <f t="shared" si="12"/>
        <v>0</v>
      </c>
      <c r="T41" s="161">
        <f>IF($H$3=1,'OC4000 Values'!V16,'OC3000 Values'!V16)</f>
        <v>593978.76</v>
      </c>
      <c r="U41" s="156">
        <f t="shared" si="9"/>
        <v>0</v>
      </c>
      <c r="V41" s="156">
        <f t="shared" si="13"/>
        <v>0</v>
      </c>
      <c r="W41" s="156">
        <f t="shared" si="14"/>
        <v>-1</v>
      </c>
      <c r="X41" s="156">
        <f t="shared" si="15"/>
        <v>0</v>
      </c>
      <c r="Y41" s="156">
        <f t="shared" si="16"/>
        <v>0</v>
      </c>
      <c r="Z41" s="156">
        <f t="shared" si="17"/>
        <v>0</v>
      </c>
      <c r="AA41" s="156" t="str">
        <f t="shared" si="18"/>
        <v/>
      </c>
      <c r="AB41" s="156">
        <f t="shared" si="19"/>
        <v>0</v>
      </c>
      <c r="AC41" s="156">
        <f t="shared" si="20"/>
        <v>0</v>
      </c>
    </row>
    <row r="42" spans="2:29" ht="15" thickBot="1" x14ac:dyDescent="0.35">
      <c r="B42" s="167"/>
      <c r="C42" s="168"/>
      <c r="D42" s="171" t="e">
        <f>IF($H$3=1,$E$30*(VLOOKUP(B42,'OC1000 Values'!$L$5:$M$27,2,FALSE)),$E$30*(VLOOKUP(B42,'OC3000 Values'!$L$5:$M$27,2,FALSE)))</f>
        <v>#N/A</v>
      </c>
      <c r="E42" s="172"/>
      <c r="F42" s="137"/>
      <c r="G42" s="48" t="str">
        <f t="shared" si="21"/>
        <v/>
      </c>
      <c r="H42" s="27" t="str">
        <f t="shared" si="23"/>
        <v/>
      </c>
      <c r="I42" s="156" t="str">
        <f t="shared" si="22"/>
        <v/>
      </c>
      <c r="J42" s="56">
        <v>180</v>
      </c>
      <c r="K42" s="57">
        <f>IF($H$3=1,'OC4000 Values'!P17,'OC3000 Values'!P17)</f>
        <v>179.9966</v>
      </c>
      <c r="L42" s="59">
        <f>IF($H$3=1,'OC4000 Values'!Q17,'OC3000 Values'!Q17)</f>
        <v>-3.3999999999991815E-3</v>
      </c>
      <c r="M42" s="39"/>
      <c r="N42" s="40"/>
      <c r="O42" s="41"/>
      <c r="P42" s="64" t="str">
        <f t="shared" si="10"/>
        <v/>
      </c>
      <c r="Q42" s="162">
        <f t="shared" si="11"/>
        <v>0</v>
      </c>
      <c r="R42" s="61"/>
      <c r="S42" s="160">
        <f t="shared" si="12"/>
        <v>0</v>
      </c>
      <c r="T42" s="161">
        <f>IF($H$3=1,'OC4000 Values'!V17,'OC3000 Values'!V17)</f>
        <v>647987.76</v>
      </c>
      <c r="U42" s="156">
        <f t="shared" si="9"/>
        <v>0</v>
      </c>
      <c r="V42" s="156">
        <f t="shared" si="13"/>
        <v>0</v>
      </c>
      <c r="W42" s="156">
        <f t="shared" si="14"/>
        <v>-1</v>
      </c>
      <c r="X42" s="156">
        <f t="shared" si="15"/>
        <v>0</v>
      </c>
      <c r="Y42" s="156">
        <f t="shared" si="16"/>
        <v>0</v>
      </c>
      <c r="Z42" s="156">
        <f t="shared" si="17"/>
        <v>0</v>
      </c>
      <c r="AA42" s="156" t="str">
        <f t="shared" si="18"/>
        <v/>
      </c>
      <c r="AB42" s="156">
        <f t="shared" si="19"/>
        <v>0</v>
      </c>
      <c r="AC42" s="156">
        <f t="shared" si="20"/>
        <v>0</v>
      </c>
    </row>
    <row r="43" spans="2:29" ht="15" thickBot="1" x14ac:dyDescent="0.35">
      <c r="B43" s="167"/>
      <c r="C43" s="168"/>
      <c r="D43" s="169" t="e">
        <f>IF($H$3=1,$E$30*(VLOOKUP(B43,'OC1000 Values'!$L$5:$M$27,2,FALSE)),$E$30*(VLOOKUP(B43,'OC3000 Values'!$L$5:$M$27,2,FALSE)))</f>
        <v>#N/A</v>
      </c>
      <c r="E43" s="170"/>
      <c r="F43" s="137"/>
      <c r="G43" s="157" t="str">
        <f t="shared" si="21"/>
        <v/>
      </c>
      <c r="H43" s="27" t="str">
        <f t="shared" si="23"/>
        <v/>
      </c>
      <c r="I43" s="156" t="str">
        <f t="shared" si="22"/>
        <v/>
      </c>
      <c r="S43" s="156">
        <f>MAX(S31:S42)</f>
        <v>0</v>
      </c>
      <c r="T43" s="156" t="str">
        <f>VLOOKUP(S43,S31:AA42,9,FALSE)</f>
        <v/>
      </c>
      <c r="U43" s="156"/>
      <c r="V43" s="156"/>
      <c r="W43" s="156"/>
      <c r="X43" s="156"/>
      <c r="Y43" s="156"/>
      <c r="Z43" s="156"/>
      <c r="AA43" s="156"/>
      <c r="AB43" s="156"/>
      <c r="AC43" s="156"/>
    </row>
    <row r="44" spans="2:29" x14ac:dyDescent="0.3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</row>
    <row r="45" spans="2:29" x14ac:dyDescent="0.3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</row>
    <row r="46" spans="2:29" x14ac:dyDescent="0.3"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</row>
    <row r="47" spans="2:29" x14ac:dyDescent="0.3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spans="2:29" x14ac:dyDescent="0.3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</row>
    <row r="49" spans="2:17" x14ac:dyDescent="0.3"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spans="2:17" x14ac:dyDescent="0.3"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spans="2:17" x14ac:dyDescent="0.3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spans="2:17" x14ac:dyDescent="0.3"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spans="2:17" x14ac:dyDescent="0.3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</sheetData>
  <sheetProtection algorithmName="SHA-512" hashValue="oy4cFUBOx3lOL8xugkyAPaq+Y3p4xVCN/BM7RQkUk2Xd2lvYpqXL9VtSRKiBYJiB5TcrKM1xx9lmEpa3wF0epg==" saltValue="2Qol6DO4SElULyF0hCCa7w==" spinCount="100000" sheet="1" selectLockedCells="1"/>
  <mergeCells count="26">
    <mergeCell ref="B35:C35"/>
    <mergeCell ref="B34:C34"/>
    <mergeCell ref="B31:C31"/>
    <mergeCell ref="B32:C32"/>
    <mergeCell ref="B33:C33"/>
    <mergeCell ref="D31:E31"/>
    <mergeCell ref="D32:E32"/>
    <mergeCell ref="D35:E35"/>
    <mergeCell ref="D34:E34"/>
    <mergeCell ref="D33:E33"/>
    <mergeCell ref="B38:C38"/>
    <mergeCell ref="D38:E38"/>
    <mergeCell ref="B42:C42"/>
    <mergeCell ref="D42:E42"/>
    <mergeCell ref="B36:C36"/>
    <mergeCell ref="D36:E36"/>
    <mergeCell ref="B37:C37"/>
    <mergeCell ref="D37:E37"/>
    <mergeCell ref="B43:C43"/>
    <mergeCell ref="D43:E43"/>
    <mergeCell ref="B39:C39"/>
    <mergeCell ref="D39:E39"/>
    <mergeCell ref="B40:C40"/>
    <mergeCell ref="D40:E40"/>
    <mergeCell ref="B41:C41"/>
    <mergeCell ref="D41:E41"/>
  </mergeCells>
  <phoneticPr fontId="0" type="noConversion"/>
  <conditionalFormatting sqref="N11:Q13">
    <cfRule type="expression" dxfId="0" priority="3">
      <formula>$N11=$H$3</formula>
    </cfRule>
  </conditionalFormatting>
  <pageMargins left="0.7" right="0.7" top="0.75" bottom="0.75" header="0.3" footer="0.3"/>
  <pageSetup scale="70" orientation="landscape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5</xdr:col>
                    <xdr:colOff>845820</xdr:colOff>
                    <xdr:row>1</xdr:row>
                    <xdr:rowOff>182880</xdr:rowOff>
                  </from>
                  <to>
                    <xdr:col>8</xdr:col>
                    <xdr:colOff>220980</xdr:colOff>
                    <xdr:row>2</xdr:row>
                    <xdr:rowOff>182880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view="pageBreakPreview" zoomScale="140" zoomScaleNormal="100" zoomScaleSheetLayoutView="140" workbookViewId="0">
      <selection activeCell="B13" sqref="B13"/>
    </sheetView>
  </sheetViews>
  <sheetFormatPr defaultColWidth="9.109375" defaultRowHeight="14.4" x14ac:dyDescent="0.3"/>
  <cols>
    <col min="1" max="1" width="14.33203125" style="11" customWidth="1"/>
    <col min="2" max="2" width="18.109375" style="11" customWidth="1"/>
    <col min="3" max="3" width="9.109375" style="11"/>
    <col min="4" max="4" width="12.88671875" style="22" customWidth="1"/>
    <col min="5" max="5" width="9.109375" style="12"/>
    <col min="6" max="6" width="11.33203125" style="22" customWidth="1"/>
    <col min="7" max="16384" width="9.109375" style="11"/>
  </cols>
  <sheetData>
    <row r="1" spans="1:6" x14ac:dyDescent="0.3">
      <c r="A1" s="11" t="s">
        <v>51</v>
      </c>
      <c r="B1" s="29"/>
      <c r="D1" s="22" t="s">
        <v>52</v>
      </c>
    </row>
    <row r="2" spans="1:6" x14ac:dyDescent="0.3">
      <c r="A2" s="11" t="s">
        <v>53</v>
      </c>
      <c r="B2" s="29"/>
      <c r="E2" s="22" t="s">
        <v>54</v>
      </c>
    </row>
    <row r="3" spans="1:6" x14ac:dyDescent="0.3">
      <c r="A3" s="11" t="s">
        <v>55</v>
      </c>
      <c r="B3" s="29"/>
      <c r="D3" s="50"/>
      <c r="E3" s="12" t="s">
        <v>56</v>
      </c>
      <c r="F3" s="124" t="str">
        <f>IF(Worksheet!D9&lt;&gt;"",Worksheet!F22,"")</f>
        <v/>
      </c>
    </row>
    <row r="4" spans="1:6" x14ac:dyDescent="0.3">
      <c r="A4" s="11" t="s">
        <v>57</v>
      </c>
      <c r="B4" s="29"/>
      <c r="E4" s="12" t="s">
        <v>58</v>
      </c>
      <c r="F4" s="124" t="str">
        <f>IF(Worksheet!D9&lt;&gt;"",Worksheet!F23,"")</f>
        <v/>
      </c>
    </row>
    <row r="5" spans="1:6" x14ac:dyDescent="0.3">
      <c r="A5" s="11" t="s">
        <v>59</v>
      </c>
      <c r="B5" s="29"/>
      <c r="E5" s="12" t="s">
        <v>60</v>
      </c>
      <c r="F5" s="124" t="str">
        <f>IF(Worksheet!E5="","",Worksheet!E5)</f>
        <v/>
      </c>
    </row>
    <row r="6" spans="1:6" x14ac:dyDescent="0.3">
      <c r="A6" s="11" t="s">
        <v>61</v>
      </c>
      <c r="B6" s="29"/>
      <c r="F6" s="125"/>
    </row>
    <row r="7" spans="1:6" x14ac:dyDescent="0.3">
      <c r="A7" s="11" t="s">
        <v>62</v>
      </c>
      <c r="B7" s="29"/>
      <c r="F7" s="126"/>
    </row>
    <row r="8" spans="1:6" x14ac:dyDescent="0.3">
      <c r="A8" s="11" t="s">
        <v>63</v>
      </c>
      <c r="B8" s="29"/>
      <c r="E8" s="12" t="s">
        <v>64</v>
      </c>
      <c r="F8" s="126"/>
    </row>
    <row r="9" spans="1:6" x14ac:dyDescent="0.3">
      <c r="A9" s="11" t="s">
        <v>65</v>
      </c>
      <c r="B9" s="30"/>
      <c r="D9" s="50"/>
      <c r="E9" s="12" t="s">
        <v>56</v>
      </c>
      <c r="F9" s="124" t="str">
        <f>IF(Worksheet!J9&lt;&gt;"",Worksheet!L22,"")</f>
        <v/>
      </c>
    </row>
    <row r="10" spans="1:6" x14ac:dyDescent="0.3">
      <c r="A10" s="11" t="s">
        <v>66</v>
      </c>
      <c r="B10" s="30"/>
      <c r="E10" s="12" t="s">
        <v>58</v>
      </c>
      <c r="F10" s="124" t="str">
        <f>IF(Worksheet!J9&lt;&gt;"",Worksheet!L23,"")</f>
        <v/>
      </c>
    </row>
    <row r="11" spans="1:6" x14ac:dyDescent="0.3">
      <c r="A11" s="11" t="s">
        <v>67</v>
      </c>
      <c r="B11" s="29"/>
      <c r="E11" s="12" t="s">
        <v>60</v>
      </c>
      <c r="F11" s="124" t="str">
        <f>IF(Worksheet!K5="","",Worksheet!K5)</f>
        <v/>
      </c>
    </row>
    <row r="12" spans="1:6" x14ac:dyDescent="0.3">
      <c r="A12" s="11" t="s">
        <v>68</v>
      </c>
      <c r="B12" s="29"/>
      <c r="F12" s="12"/>
    </row>
    <row r="13" spans="1:6" x14ac:dyDescent="0.3">
      <c r="A13" s="11" t="s">
        <v>69</v>
      </c>
      <c r="B13" s="29"/>
    </row>
    <row r="14" spans="1:6" x14ac:dyDescent="0.3">
      <c r="A14" s="11" t="s">
        <v>70</v>
      </c>
      <c r="B14" s="29"/>
      <c r="E14" s="12" t="s">
        <v>71</v>
      </c>
      <c r="F14" s="65" t="str">
        <f>IFERROR(AVERAGE(Worksheet!G32:G43),"")</f>
        <v/>
      </c>
    </row>
    <row r="15" spans="1:6" x14ac:dyDescent="0.3">
      <c r="A15" s="11" t="s">
        <v>72</v>
      </c>
      <c r="B15" s="29"/>
      <c r="E15" s="12" t="s">
        <v>73</v>
      </c>
      <c r="F15" s="49" t="str">
        <f>Worksheet!T43</f>
        <v/>
      </c>
    </row>
    <row r="16" spans="1:6" x14ac:dyDescent="0.3">
      <c r="A16" s="11" t="s">
        <v>74</v>
      </c>
      <c r="B16" s="29"/>
    </row>
    <row r="17" spans="1:2" x14ac:dyDescent="0.3">
      <c r="A17" s="11" t="s">
        <v>75</v>
      </c>
      <c r="B17" s="29"/>
    </row>
  </sheetData>
  <sheetProtection selectLockedCells="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D48"/>
  <sheetViews>
    <sheetView topLeftCell="J1" workbookViewId="0">
      <selection activeCell="AC19" sqref="AC19"/>
    </sheetView>
  </sheetViews>
  <sheetFormatPr defaultRowHeight="14.4" x14ac:dyDescent="0.3"/>
  <cols>
    <col min="5" max="5" width="10.5546875" bestFit="1" customWidth="1"/>
    <col min="6" max="6" width="12.5546875" customWidth="1"/>
    <col min="9" max="9" width="10.5546875" customWidth="1"/>
    <col min="13" max="13" width="11.5546875" customWidth="1"/>
    <col min="16" max="16" width="14.88671875" customWidth="1"/>
    <col min="17" max="17" width="11.33203125" customWidth="1"/>
    <col min="22" max="22" width="11.6640625" style="43" customWidth="1"/>
  </cols>
  <sheetData>
    <row r="1" spans="3:30" ht="15" thickBot="1" x14ac:dyDescent="0.35">
      <c r="K1" t="s">
        <v>189</v>
      </c>
      <c r="M1" s="28">
        <f>DATE(YEAR(M2)+3,MONTH(M2),DAY(M2))</f>
        <v>46567</v>
      </c>
    </row>
    <row r="2" spans="3:30" ht="15" thickBot="1" x14ac:dyDescent="0.35">
      <c r="F2" t="s">
        <v>76</v>
      </c>
      <c r="K2" s="150" t="s">
        <v>188</v>
      </c>
      <c r="L2" s="151"/>
      <c r="M2" s="152">
        <v>45472</v>
      </c>
    </row>
    <row r="3" spans="3:30" x14ac:dyDescent="0.3">
      <c r="C3" t="s">
        <v>77</v>
      </c>
    </row>
    <row r="4" spans="3:30" x14ac:dyDescent="0.3">
      <c r="C4" t="s">
        <v>78</v>
      </c>
      <c r="H4" t="s">
        <v>79</v>
      </c>
      <c r="L4" s="128" t="s">
        <v>80</v>
      </c>
      <c r="M4" s="129" t="s">
        <v>81</v>
      </c>
      <c r="O4" t="s">
        <v>82</v>
      </c>
      <c r="S4" t="s">
        <v>83</v>
      </c>
      <c r="W4" s="178" t="s">
        <v>197</v>
      </c>
      <c r="X4" t="s">
        <v>196</v>
      </c>
      <c r="AC4" s="178" t="s">
        <v>198</v>
      </c>
    </row>
    <row r="5" spans="3:30" x14ac:dyDescent="0.3">
      <c r="C5" s="128" t="s">
        <v>11</v>
      </c>
      <c r="D5" s="136" t="s">
        <v>84</v>
      </c>
      <c r="E5" s="129" t="s">
        <v>85</v>
      </c>
      <c r="H5" s="128" t="s">
        <v>11</v>
      </c>
      <c r="I5" s="136" t="s">
        <v>84</v>
      </c>
      <c r="J5" s="129" t="s">
        <v>85</v>
      </c>
      <c r="L5" s="130" t="s">
        <v>86</v>
      </c>
      <c r="M5" s="131">
        <v>6.241E-2</v>
      </c>
      <c r="O5" s="128" t="s">
        <v>11</v>
      </c>
      <c r="P5" s="129" t="s">
        <v>87</v>
      </c>
      <c r="Q5" t="s">
        <v>88</v>
      </c>
      <c r="S5" t="s">
        <v>13</v>
      </c>
      <c r="T5" t="s">
        <v>14</v>
      </c>
      <c r="U5" t="s">
        <v>15</v>
      </c>
      <c r="V5" t="s">
        <v>89</v>
      </c>
      <c r="W5" s="178"/>
      <c r="X5" t="s">
        <v>13</v>
      </c>
      <c r="Y5" t="s">
        <v>14</v>
      </c>
      <c r="Z5" s="177" t="s">
        <v>199</v>
      </c>
      <c r="AA5" s="177"/>
      <c r="AB5" s="177"/>
      <c r="AC5" s="178"/>
      <c r="AD5" t="s">
        <v>15</v>
      </c>
    </row>
    <row r="6" spans="3:30" x14ac:dyDescent="0.3">
      <c r="C6" s="130">
        <v>0</v>
      </c>
      <c r="E6" s="134">
        <f>(D6*0.000001)+C6</f>
        <v>0</v>
      </c>
      <c r="F6" s="1">
        <f>E6-C6</f>
        <v>0</v>
      </c>
      <c r="H6" s="130">
        <v>0</v>
      </c>
      <c r="J6" s="134">
        <f>(I6*0.000001)+H6</f>
        <v>0</v>
      </c>
      <c r="K6" s="1">
        <f>J6-H6</f>
        <v>0</v>
      </c>
      <c r="L6" s="130" t="s">
        <v>25</v>
      </c>
      <c r="M6" s="131">
        <v>0.24989</v>
      </c>
      <c r="O6" s="130">
        <v>15</v>
      </c>
      <c r="P6" s="165">
        <v>14.998900000000001</v>
      </c>
      <c r="Q6" s="2">
        <f>P6-O6</f>
        <v>-1.0999999999992127E-3</v>
      </c>
      <c r="S6">
        <f>X6</f>
        <v>14</v>
      </c>
      <c r="T6">
        <f>Z6</f>
        <v>59</v>
      </c>
      <c r="U6">
        <f>AD6</f>
        <v>56.040000000002834</v>
      </c>
      <c r="V6">
        <f>U6+(T6*60)+(S6*60*60)</f>
        <v>53996.04</v>
      </c>
      <c r="W6">
        <f>O6-ROUNDDOWN(P6,0)+Q6</f>
        <v>0.99890000000000079</v>
      </c>
      <c r="X6" s="179">
        <f>VALUE(LEFT(P6,2))</f>
        <v>14</v>
      </c>
      <c r="Y6" s="166">
        <f>W6*60</f>
        <v>59.934000000000047</v>
      </c>
      <c r="Z6">
        <f>VALUE(LEFT(Y6,2))</f>
        <v>59</v>
      </c>
      <c r="AA6" s="176">
        <f>60-Y6</f>
        <v>6.5999999999952763E-2</v>
      </c>
      <c r="AB6" s="176">
        <f>60-ROUNDDOWN(Y6,0)</f>
        <v>1</v>
      </c>
      <c r="AC6" s="176">
        <f>AB6-AA6</f>
        <v>0.93400000000004724</v>
      </c>
      <c r="AD6" s="179">
        <f>AC6*60</f>
        <v>56.040000000002834</v>
      </c>
    </row>
    <row r="7" spans="3:30" x14ac:dyDescent="0.3">
      <c r="C7" s="130">
        <v>0.5</v>
      </c>
      <c r="E7" s="131">
        <v>0.50001399999999996</v>
      </c>
      <c r="F7" s="1">
        <f t="shared" ref="F7:F30" si="0">E7-C7</f>
        <v>1.399999999995849E-5</v>
      </c>
      <c r="H7" s="130">
        <v>0.5</v>
      </c>
      <c r="I7">
        <f>K7*1000000</f>
        <v>17.000000000044757</v>
      </c>
      <c r="J7" s="131">
        <v>0.50001700000000004</v>
      </c>
      <c r="K7" s="1">
        <f t="shared" ref="K7:K18" si="1">J7-H7</f>
        <v>1.7000000000044757E-5</v>
      </c>
      <c r="L7" s="130" t="s">
        <v>26</v>
      </c>
      <c r="M7" s="131">
        <v>0.62487999999999999</v>
      </c>
      <c r="O7" s="130">
        <v>30</v>
      </c>
      <c r="P7" s="165">
        <v>29.996700000000001</v>
      </c>
      <c r="Q7" s="2">
        <f t="shared" ref="Q7:Q17" si="2">P7-O7</f>
        <v>-3.2999999999994145E-3</v>
      </c>
      <c r="S7">
        <f t="shared" ref="S7:S17" si="3">X7</f>
        <v>29</v>
      </c>
      <c r="T7">
        <f t="shared" ref="T7:T17" si="4">Z7</f>
        <v>59</v>
      </c>
      <c r="U7">
        <f>AD7</f>
        <v>48.120000000002108</v>
      </c>
      <c r="V7">
        <f t="shared" ref="V7:V17" si="5">U7+(T7*60)+(S7*60*60)</f>
        <v>107988.12</v>
      </c>
      <c r="W7">
        <f t="shared" ref="W7:W17" si="6">O7-ROUNDDOWN(P7,0)+Q7</f>
        <v>0.99670000000000059</v>
      </c>
      <c r="X7" s="179">
        <f t="shared" ref="X7:X11" si="7">VALUE(LEFT(P7,2))</f>
        <v>29</v>
      </c>
      <c r="Y7" s="166">
        <f>W7*60</f>
        <v>59.802000000000035</v>
      </c>
      <c r="Z7">
        <f t="shared" ref="Z7:Z11" si="8">VALUE(LEFT(Y7,2))</f>
        <v>59</v>
      </c>
      <c r="AA7" s="176">
        <f t="shared" ref="AA7:AA17" si="9">60-Y7</f>
        <v>0.19799999999996487</v>
      </c>
      <c r="AB7" s="176">
        <f t="shared" ref="AB7:AB17" si="10">60-ROUNDDOWN(Y7,0)</f>
        <v>1</v>
      </c>
      <c r="AC7" s="176">
        <f t="shared" ref="AC7:AC17" si="11">AB7-AA7</f>
        <v>0.80200000000003513</v>
      </c>
      <c r="AD7" s="179">
        <f t="shared" ref="AD7:AD17" si="12">AC7*60</f>
        <v>48.120000000002108</v>
      </c>
    </row>
    <row r="8" spans="3:30" x14ac:dyDescent="0.3">
      <c r="C8" s="130">
        <v>1</v>
      </c>
      <c r="E8" s="131">
        <v>1.000054</v>
      </c>
      <c r="F8" s="1">
        <f t="shared" si="0"/>
        <v>5.3999999999998494E-5</v>
      </c>
      <c r="H8" s="130">
        <v>1</v>
      </c>
      <c r="I8">
        <f t="shared" ref="I8:I18" si="13">K8*1000000</f>
        <v>26.999999999999247</v>
      </c>
      <c r="J8" s="131">
        <v>1.000027</v>
      </c>
      <c r="K8" s="1">
        <f t="shared" si="1"/>
        <v>2.6999999999999247E-5</v>
      </c>
      <c r="L8" s="130" t="s">
        <v>90</v>
      </c>
      <c r="M8" s="131">
        <v>0.99985999999999997</v>
      </c>
      <c r="O8" s="130">
        <v>45</v>
      </c>
      <c r="P8" s="165">
        <v>44.996299999999998</v>
      </c>
      <c r="Q8" s="2">
        <f t="shared" si="2"/>
        <v>-3.700000000002035E-3</v>
      </c>
      <c r="S8">
        <f t="shared" si="3"/>
        <v>44</v>
      </c>
      <c r="T8">
        <f t="shared" si="4"/>
        <v>59</v>
      </c>
      <c r="U8">
        <f>AD8</f>
        <v>46.679999999992674</v>
      </c>
      <c r="V8">
        <f t="shared" si="5"/>
        <v>161986.68</v>
      </c>
      <c r="W8">
        <f t="shared" si="6"/>
        <v>0.99629999999999797</v>
      </c>
      <c r="X8" s="179">
        <f t="shared" si="7"/>
        <v>44</v>
      </c>
      <c r="Y8" s="166">
        <f>W8*60</f>
        <v>59.777999999999878</v>
      </c>
      <c r="Z8">
        <f t="shared" si="8"/>
        <v>59</v>
      </c>
      <c r="AA8" s="176">
        <f t="shared" si="9"/>
        <v>0.2220000000001221</v>
      </c>
      <c r="AB8" s="176">
        <f t="shared" si="10"/>
        <v>1</v>
      </c>
      <c r="AC8" s="176">
        <f t="shared" si="11"/>
        <v>0.7779999999998779</v>
      </c>
      <c r="AD8" s="179">
        <f t="shared" si="12"/>
        <v>46.679999999992674</v>
      </c>
    </row>
    <row r="9" spans="3:30" x14ac:dyDescent="0.3">
      <c r="C9" s="130">
        <v>1.5</v>
      </c>
      <c r="E9" s="131">
        <v>1.500084</v>
      </c>
      <c r="F9" s="1">
        <f t="shared" si="0"/>
        <v>8.3999999999972985E-5</v>
      </c>
      <c r="H9" s="130">
        <v>1.5</v>
      </c>
      <c r="I9">
        <f t="shared" si="13"/>
        <v>24.000000000024002</v>
      </c>
      <c r="J9" s="131">
        <v>1.500024</v>
      </c>
      <c r="K9" s="1">
        <f t="shared" si="1"/>
        <v>2.4000000000024002E-5</v>
      </c>
      <c r="L9" s="130" t="s">
        <v>91</v>
      </c>
      <c r="M9" s="131">
        <v>1.2498499999999999</v>
      </c>
      <c r="O9" s="130">
        <v>60</v>
      </c>
      <c r="P9" s="165">
        <v>59.996200000000002</v>
      </c>
      <c r="Q9" s="2">
        <f t="shared" si="2"/>
        <v>-3.7999999999982492E-3</v>
      </c>
      <c r="S9">
        <f t="shared" si="3"/>
        <v>59</v>
      </c>
      <c r="T9">
        <f t="shared" si="4"/>
        <v>59</v>
      </c>
      <c r="U9">
        <f>AD9</f>
        <v>46.320000000006303</v>
      </c>
      <c r="V9">
        <f t="shared" si="5"/>
        <v>215986.32</v>
      </c>
      <c r="W9">
        <f t="shared" si="6"/>
        <v>0.99620000000000175</v>
      </c>
      <c r="X9" s="179">
        <f t="shared" si="7"/>
        <v>59</v>
      </c>
      <c r="Y9" s="166">
        <f>W9*60</f>
        <v>59.772000000000105</v>
      </c>
      <c r="Z9">
        <f t="shared" si="8"/>
        <v>59</v>
      </c>
      <c r="AA9" s="176">
        <f t="shared" si="9"/>
        <v>0.22799999999989495</v>
      </c>
      <c r="AB9" s="176">
        <f t="shared" si="10"/>
        <v>1</v>
      </c>
      <c r="AC9" s="176">
        <f t="shared" si="11"/>
        <v>0.77200000000010505</v>
      </c>
      <c r="AD9" s="179">
        <f t="shared" si="12"/>
        <v>46.320000000006303</v>
      </c>
    </row>
    <row r="10" spans="3:30" x14ac:dyDescent="0.3">
      <c r="C10" s="130">
        <v>2</v>
      </c>
      <c r="E10" s="131">
        <v>2.0000719999999998</v>
      </c>
      <c r="F10" s="1">
        <f t="shared" si="0"/>
        <v>7.1999999999849962E-5</v>
      </c>
      <c r="H10" s="130">
        <v>2</v>
      </c>
      <c r="I10">
        <f t="shared" si="13"/>
        <v>42.000000000097515</v>
      </c>
      <c r="J10" s="131">
        <v>2.0000420000000001</v>
      </c>
      <c r="K10" s="1">
        <f t="shared" si="1"/>
        <v>4.2000000000097515E-5</v>
      </c>
      <c r="L10" s="130" t="s">
        <v>27</v>
      </c>
      <c r="M10" s="131">
        <v>6.2390000000000001E-2</v>
      </c>
      <c r="O10" s="130">
        <v>75</v>
      </c>
      <c r="P10" s="165">
        <v>74.996899999999997</v>
      </c>
      <c r="Q10" s="2">
        <f t="shared" si="2"/>
        <v>-3.1000000000034333E-3</v>
      </c>
      <c r="S10">
        <f t="shared" si="3"/>
        <v>74</v>
      </c>
      <c r="T10">
        <f t="shared" si="4"/>
        <v>59</v>
      </c>
      <c r="U10">
        <f>AD10</f>
        <v>48.83999999998764</v>
      </c>
      <c r="V10">
        <f t="shared" si="5"/>
        <v>269988.83999999997</v>
      </c>
      <c r="W10">
        <f t="shared" si="6"/>
        <v>0.99689999999999657</v>
      </c>
      <c r="X10" s="179">
        <f t="shared" si="7"/>
        <v>74</v>
      </c>
      <c r="Y10" s="166">
        <f>W10*60</f>
        <v>59.813999999999794</v>
      </c>
      <c r="Z10">
        <f t="shared" si="8"/>
        <v>59</v>
      </c>
      <c r="AA10" s="176">
        <f t="shared" si="9"/>
        <v>0.186000000000206</v>
      </c>
      <c r="AB10" s="176">
        <f t="shared" si="10"/>
        <v>1</v>
      </c>
      <c r="AC10" s="176">
        <f t="shared" si="11"/>
        <v>0.813999999999794</v>
      </c>
      <c r="AD10" s="179">
        <f t="shared" si="12"/>
        <v>48.83999999998764</v>
      </c>
    </row>
    <row r="11" spans="3:30" x14ac:dyDescent="0.3">
      <c r="C11" s="130">
        <v>2.5</v>
      </c>
      <c r="E11" s="131">
        <v>2.5001159999999998</v>
      </c>
      <c r="F11" s="1">
        <f t="shared" si="0"/>
        <v>1.1599999999978294E-4</v>
      </c>
      <c r="H11" s="130">
        <v>2.5</v>
      </c>
      <c r="I11">
        <f t="shared" si="13"/>
        <v>67.00000000003925</v>
      </c>
      <c r="J11" s="131">
        <v>2.500067</v>
      </c>
      <c r="K11" s="1">
        <f>J11-H11</f>
        <v>6.700000000003925E-5</v>
      </c>
      <c r="L11" s="130" t="s">
        <v>92</v>
      </c>
      <c r="M11" s="131">
        <v>0.18742</v>
      </c>
      <c r="O11" s="130">
        <v>90</v>
      </c>
      <c r="P11" s="165">
        <v>89.999600000000001</v>
      </c>
      <c r="Q11" s="2">
        <f t="shared" si="2"/>
        <v>-3.9999999999906777E-4</v>
      </c>
      <c r="S11">
        <f t="shared" si="3"/>
        <v>89</v>
      </c>
      <c r="T11">
        <f t="shared" si="4"/>
        <v>59</v>
      </c>
      <c r="U11">
        <f>AD11</f>
        <v>58.560000000003356</v>
      </c>
      <c r="V11">
        <f t="shared" si="5"/>
        <v>323998.56</v>
      </c>
      <c r="W11">
        <f t="shared" si="6"/>
        <v>0.99960000000000093</v>
      </c>
      <c r="X11" s="179">
        <f t="shared" si="7"/>
        <v>89</v>
      </c>
      <c r="Y11" s="166">
        <f>W11*60</f>
        <v>59.976000000000056</v>
      </c>
      <c r="Z11">
        <f t="shared" si="8"/>
        <v>59</v>
      </c>
      <c r="AA11" s="176">
        <f t="shared" si="9"/>
        <v>2.3999999999944066E-2</v>
      </c>
      <c r="AB11" s="176">
        <f t="shared" si="10"/>
        <v>1</v>
      </c>
      <c r="AC11" s="176">
        <f t="shared" si="11"/>
        <v>0.97600000000005593</v>
      </c>
      <c r="AD11" s="179">
        <f t="shared" si="12"/>
        <v>58.560000000003356</v>
      </c>
    </row>
    <row r="12" spans="3:30" x14ac:dyDescent="0.3">
      <c r="C12" s="130">
        <v>3</v>
      </c>
      <c r="E12" s="131">
        <v>3.0001579999999999</v>
      </c>
      <c r="F12" s="1">
        <f t="shared" si="0"/>
        <v>1.5799999999988046E-4</v>
      </c>
      <c r="H12" s="130">
        <v>3</v>
      </c>
      <c r="I12">
        <f t="shared" si="13"/>
        <v>64.000000000064006</v>
      </c>
      <c r="J12" s="131">
        <v>3.0000640000000001</v>
      </c>
      <c r="K12" s="1">
        <f t="shared" si="1"/>
        <v>6.4000000000064006E-5</v>
      </c>
      <c r="L12" s="130" t="s">
        <v>28</v>
      </c>
      <c r="M12" s="131">
        <v>0.24990999999999999</v>
      </c>
      <c r="O12" s="130">
        <v>105</v>
      </c>
      <c r="P12" s="134">
        <v>104.997</v>
      </c>
      <c r="Q12" s="2">
        <f t="shared" si="2"/>
        <v>-3.0000000000001137E-3</v>
      </c>
      <c r="S12">
        <f t="shared" si="3"/>
        <v>104</v>
      </c>
      <c r="T12">
        <f t="shared" si="4"/>
        <v>59</v>
      </c>
      <c r="U12">
        <f>AD12</f>
        <v>49.199999999999591</v>
      </c>
      <c r="V12">
        <f t="shared" si="5"/>
        <v>377989.2</v>
      </c>
      <c r="W12">
        <f t="shared" si="6"/>
        <v>0.99699999999999989</v>
      </c>
      <c r="X12" s="179">
        <f>VALUE(LEFT(P12,3))</f>
        <v>104</v>
      </c>
      <c r="Y12" s="166">
        <f>W12*60</f>
        <v>59.819999999999993</v>
      </c>
      <c r="Z12">
        <f>VALUE(LEFT(Y12,2))</f>
        <v>59</v>
      </c>
      <c r="AA12" s="176">
        <f t="shared" si="9"/>
        <v>0.18000000000000682</v>
      </c>
      <c r="AB12" s="176">
        <f t="shared" si="10"/>
        <v>1</v>
      </c>
      <c r="AC12" s="176">
        <f t="shared" si="11"/>
        <v>0.81999999999999318</v>
      </c>
      <c r="AD12" s="179">
        <f t="shared" si="12"/>
        <v>49.199999999999591</v>
      </c>
    </row>
    <row r="13" spans="3:30" x14ac:dyDescent="0.3">
      <c r="C13" s="130">
        <v>3.5</v>
      </c>
      <c r="E13" s="131">
        <v>3.500156</v>
      </c>
      <c r="F13" s="1">
        <f t="shared" si="0"/>
        <v>1.5600000000004499E-4</v>
      </c>
      <c r="H13" s="130">
        <v>3.5</v>
      </c>
      <c r="I13">
        <f t="shared" si="13"/>
        <v>52.999999999858716</v>
      </c>
      <c r="J13" s="131">
        <v>3.5000529999999999</v>
      </c>
      <c r="K13" s="1">
        <f t="shared" si="1"/>
        <v>5.2999999999858716E-5</v>
      </c>
      <c r="L13" s="130" t="s">
        <v>93</v>
      </c>
      <c r="M13" s="131">
        <v>0.43741000000000002</v>
      </c>
      <c r="O13" s="130">
        <v>120</v>
      </c>
      <c r="P13" s="134">
        <v>119.99630000000001</v>
      </c>
      <c r="Q13" s="2">
        <f t="shared" si="2"/>
        <v>-3.6999999999949296E-3</v>
      </c>
      <c r="S13">
        <f t="shared" si="3"/>
        <v>119</v>
      </c>
      <c r="T13">
        <f t="shared" si="4"/>
        <v>59</v>
      </c>
      <c r="U13">
        <f>AD13</f>
        <v>46.680000000018254</v>
      </c>
      <c r="V13">
        <f t="shared" si="5"/>
        <v>431986.68</v>
      </c>
      <c r="W13">
        <f t="shared" si="6"/>
        <v>0.99630000000000507</v>
      </c>
      <c r="X13" s="179">
        <f t="shared" ref="X13:X17" si="14">VALUE(LEFT(P13,3))</f>
        <v>119</v>
      </c>
      <c r="Y13" s="166">
        <f>W13*60</f>
        <v>59.778000000000304</v>
      </c>
      <c r="Z13">
        <f t="shared" ref="Z13:Z17" si="15">VALUE(LEFT(Y13,2))</f>
        <v>59</v>
      </c>
      <c r="AA13" s="176">
        <f t="shared" si="9"/>
        <v>0.22199999999969577</v>
      </c>
      <c r="AB13" s="176">
        <f t="shared" si="10"/>
        <v>1</v>
      </c>
      <c r="AC13" s="176">
        <f t="shared" si="11"/>
        <v>0.77800000000030423</v>
      </c>
      <c r="AD13" s="179">
        <f t="shared" si="12"/>
        <v>46.680000000018254</v>
      </c>
    </row>
    <row r="14" spans="3:30" x14ac:dyDescent="0.3">
      <c r="C14" s="130">
        <v>4</v>
      </c>
      <c r="E14" s="131">
        <v>4.0001910000000001</v>
      </c>
      <c r="F14" s="1">
        <f t="shared" si="0"/>
        <v>1.9100000000005224E-4</v>
      </c>
      <c r="H14" s="130">
        <v>4</v>
      </c>
      <c r="I14">
        <f t="shared" si="13"/>
        <v>52.000000000163027</v>
      </c>
      <c r="J14" s="131">
        <v>4.0000520000000002</v>
      </c>
      <c r="K14" s="1">
        <f t="shared" si="1"/>
        <v>5.2000000000163027E-5</v>
      </c>
      <c r="L14" s="130" t="s">
        <v>94</v>
      </c>
      <c r="M14" s="131">
        <v>0.62490000000000001</v>
      </c>
      <c r="O14" s="130">
        <v>135</v>
      </c>
      <c r="P14" s="134">
        <v>134.9975</v>
      </c>
      <c r="Q14" s="2">
        <f t="shared" si="2"/>
        <v>-2.4999999999977263E-3</v>
      </c>
      <c r="S14">
        <f t="shared" si="3"/>
        <v>134</v>
      </c>
      <c r="T14">
        <f t="shared" si="4"/>
        <v>59</v>
      </c>
      <c r="U14">
        <f>AD14</f>
        <v>51.000000000008185</v>
      </c>
      <c r="V14">
        <f t="shared" si="5"/>
        <v>485991</v>
      </c>
      <c r="W14">
        <f t="shared" si="6"/>
        <v>0.99750000000000227</v>
      </c>
      <c r="X14" s="179">
        <f t="shared" si="14"/>
        <v>134</v>
      </c>
      <c r="Y14" s="166">
        <f>W14*60</f>
        <v>59.850000000000136</v>
      </c>
      <c r="Z14">
        <f t="shared" si="15"/>
        <v>59</v>
      </c>
      <c r="AA14" s="176">
        <f t="shared" si="9"/>
        <v>0.14999999999986358</v>
      </c>
      <c r="AB14" s="176">
        <f t="shared" si="10"/>
        <v>1</v>
      </c>
      <c r="AC14" s="176">
        <f t="shared" si="11"/>
        <v>0.85000000000013642</v>
      </c>
      <c r="AD14" s="179">
        <f t="shared" si="12"/>
        <v>51.000000000008185</v>
      </c>
    </row>
    <row r="15" spans="3:30" x14ac:dyDescent="0.3">
      <c r="C15" s="130">
        <v>4.5</v>
      </c>
      <c r="E15" s="131">
        <v>4.5002149999999999</v>
      </c>
      <c r="F15" s="1">
        <f t="shared" si="0"/>
        <v>2.149999999998542E-4</v>
      </c>
      <c r="H15" s="130">
        <v>4.5</v>
      </c>
      <c r="I15">
        <f t="shared" si="13"/>
        <v>41.999999999653426</v>
      </c>
      <c r="J15" s="131">
        <v>4.5000419999999997</v>
      </c>
      <c r="K15" s="1">
        <f t="shared" si="1"/>
        <v>4.1999999999653426E-5</v>
      </c>
      <c r="L15" s="130" t="s">
        <v>95</v>
      </c>
      <c r="M15" s="131">
        <v>6.2449999999999999E-2</v>
      </c>
      <c r="O15" s="130">
        <v>150</v>
      </c>
      <c r="P15" s="134">
        <v>149.99879999999999</v>
      </c>
      <c r="Q15" s="2">
        <f t="shared" si="2"/>
        <v>-1.2000000000114142E-3</v>
      </c>
      <c r="S15">
        <f t="shared" si="3"/>
        <v>149</v>
      </c>
      <c r="T15">
        <f t="shared" si="4"/>
        <v>59</v>
      </c>
      <c r="U15">
        <f>AD15</f>
        <v>55.679999999958909</v>
      </c>
      <c r="V15">
        <f t="shared" si="5"/>
        <v>539995.67999999993</v>
      </c>
      <c r="W15">
        <f t="shared" si="6"/>
        <v>0.99879999999998859</v>
      </c>
      <c r="X15" s="179">
        <f t="shared" si="14"/>
        <v>149</v>
      </c>
      <c r="Y15" s="166">
        <f>W15*60</f>
        <v>59.927999999999315</v>
      </c>
      <c r="Z15">
        <f t="shared" si="15"/>
        <v>59</v>
      </c>
      <c r="AA15" s="176">
        <f t="shared" si="9"/>
        <v>7.200000000068485E-2</v>
      </c>
      <c r="AB15" s="176">
        <f t="shared" si="10"/>
        <v>1</v>
      </c>
      <c r="AC15" s="176">
        <f t="shared" si="11"/>
        <v>0.92799999999931515</v>
      </c>
      <c r="AD15" s="179">
        <f t="shared" si="12"/>
        <v>55.679999999958909</v>
      </c>
    </row>
    <row r="16" spans="3:30" x14ac:dyDescent="0.3">
      <c r="C16" s="130">
        <v>5</v>
      </c>
      <c r="E16" s="131">
        <v>5.0001939999999996</v>
      </c>
      <c r="F16" s="1">
        <f t="shared" si="0"/>
        <v>1.9399999999958339E-4</v>
      </c>
      <c r="H16" s="130">
        <v>5</v>
      </c>
      <c r="I16">
        <f t="shared" si="13"/>
        <v>64.000000000064006</v>
      </c>
      <c r="J16" s="131">
        <v>5.0000640000000001</v>
      </c>
      <c r="K16" s="1">
        <f t="shared" si="1"/>
        <v>6.4000000000064006E-5</v>
      </c>
      <c r="L16" s="130" t="s">
        <v>96</v>
      </c>
      <c r="M16" s="131">
        <v>0.12495000000000001</v>
      </c>
      <c r="O16" s="130">
        <v>165</v>
      </c>
      <c r="P16" s="134">
        <v>164.9941</v>
      </c>
      <c r="Q16" s="2">
        <f t="shared" si="2"/>
        <v>-5.8999999999969077E-3</v>
      </c>
      <c r="S16">
        <f t="shared" si="3"/>
        <v>164</v>
      </c>
      <c r="T16">
        <f t="shared" si="4"/>
        <v>59</v>
      </c>
      <c r="U16">
        <f>AD16</f>
        <v>38.760000000011132</v>
      </c>
      <c r="V16">
        <f t="shared" si="5"/>
        <v>593978.76</v>
      </c>
      <c r="W16">
        <f t="shared" si="6"/>
        <v>0.99410000000000309</v>
      </c>
      <c r="X16" s="179">
        <f t="shared" si="14"/>
        <v>164</v>
      </c>
      <c r="Y16" s="166">
        <f>W16*60</f>
        <v>59.646000000000186</v>
      </c>
      <c r="Z16">
        <f t="shared" si="15"/>
        <v>59</v>
      </c>
      <c r="AA16" s="176">
        <f t="shared" si="9"/>
        <v>0.35399999999981446</v>
      </c>
      <c r="AB16" s="176">
        <f t="shared" si="10"/>
        <v>1</v>
      </c>
      <c r="AC16" s="176">
        <f t="shared" si="11"/>
        <v>0.64600000000018554</v>
      </c>
      <c r="AD16" s="179">
        <f t="shared" si="12"/>
        <v>38.760000000011132</v>
      </c>
    </row>
    <row r="17" spans="3:30" x14ac:dyDescent="0.3">
      <c r="C17" s="130">
        <v>5.5</v>
      </c>
      <c r="E17" s="131">
        <v>5.5002129999999996</v>
      </c>
      <c r="F17" s="1">
        <f t="shared" si="0"/>
        <v>2.1299999999957464E-4</v>
      </c>
      <c r="H17" s="130">
        <v>5.5</v>
      </c>
      <c r="I17">
        <f t="shared" si="13"/>
        <v>17.999999999851468</v>
      </c>
      <c r="J17" s="131">
        <v>5.5000179999999999</v>
      </c>
      <c r="K17" s="1">
        <f t="shared" si="1"/>
        <v>1.7999999999851468E-5</v>
      </c>
      <c r="L17" s="130" t="s">
        <v>97</v>
      </c>
      <c r="M17" s="131">
        <v>0.18748000000000001</v>
      </c>
      <c r="O17" s="132">
        <v>180</v>
      </c>
      <c r="P17" s="135">
        <v>179.9966</v>
      </c>
      <c r="Q17" s="2">
        <f t="shared" si="2"/>
        <v>-3.3999999999991815E-3</v>
      </c>
      <c r="S17">
        <f t="shared" si="3"/>
        <v>179</v>
      </c>
      <c r="T17">
        <f t="shared" si="4"/>
        <v>59</v>
      </c>
      <c r="U17">
        <f>AD17</f>
        <v>47.760000000002947</v>
      </c>
      <c r="V17">
        <f t="shared" si="5"/>
        <v>647987.76</v>
      </c>
      <c r="W17">
        <f t="shared" si="6"/>
        <v>0.99660000000000082</v>
      </c>
      <c r="X17" s="179">
        <f t="shared" si="14"/>
        <v>179</v>
      </c>
      <c r="Y17" s="166">
        <f>W17*60</f>
        <v>59.796000000000049</v>
      </c>
      <c r="Z17">
        <f t="shared" si="15"/>
        <v>59</v>
      </c>
      <c r="AA17" s="176">
        <f t="shared" si="9"/>
        <v>0.20399999999995089</v>
      </c>
      <c r="AB17" s="176">
        <f t="shared" si="10"/>
        <v>1</v>
      </c>
      <c r="AC17" s="176">
        <f t="shared" si="11"/>
        <v>0.79600000000004911</v>
      </c>
      <c r="AD17" s="179">
        <f t="shared" si="12"/>
        <v>47.760000000002947</v>
      </c>
    </row>
    <row r="18" spans="3:30" x14ac:dyDescent="0.3">
      <c r="C18" s="130">
        <v>6</v>
      </c>
      <c r="E18" s="131">
        <v>6.0002310000000003</v>
      </c>
      <c r="F18" s="1">
        <f t="shared" si="0"/>
        <v>2.3100000000031429E-4</v>
      </c>
      <c r="H18" s="132">
        <v>6</v>
      </c>
      <c r="I18" s="127">
        <f t="shared" si="13"/>
        <v>27.000000000221291</v>
      </c>
      <c r="J18" s="133">
        <v>6.0000270000000002</v>
      </c>
      <c r="K18" s="1">
        <f t="shared" si="1"/>
        <v>2.7000000000221291E-5</v>
      </c>
      <c r="L18" s="130" t="s">
        <v>98</v>
      </c>
      <c r="M18" s="131">
        <v>0.24995999999999999</v>
      </c>
    </row>
    <row r="19" spans="3:30" x14ac:dyDescent="0.3">
      <c r="C19" s="130">
        <v>6.5</v>
      </c>
      <c r="E19" s="131">
        <v>6.5002319999999996</v>
      </c>
      <c r="F19" s="1">
        <f t="shared" si="0"/>
        <v>2.3199999999956589E-4</v>
      </c>
      <c r="L19" s="130" t="s">
        <v>99</v>
      </c>
      <c r="M19" s="131">
        <v>6.2370000000000002E-2</v>
      </c>
    </row>
    <row r="20" spans="3:30" x14ac:dyDescent="0.3">
      <c r="C20" s="130">
        <v>7</v>
      </c>
      <c r="E20" s="131">
        <v>7.0001959999999999</v>
      </c>
      <c r="F20" s="1">
        <f t="shared" si="0"/>
        <v>1.9599999999986295E-4</v>
      </c>
      <c r="L20" s="130" t="s">
        <v>100</v>
      </c>
      <c r="M20" s="131">
        <v>0.18740000000000001</v>
      </c>
    </row>
    <row r="21" spans="3:30" x14ac:dyDescent="0.3">
      <c r="C21" s="130">
        <v>7.5</v>
      </c>
      <c r="E21" s="131">
        <v>7.500229</v>
      </c>
      <c r="F21" s="1">
        <f t="shared" si="0"/>
        <v>2.2900000000003473E-4</v>
      </c>
      <c r="L21" s="130" t="s">
        <v>101</v>
      </c>
      <c r="M21" s="131">
        <v>0.24987999999999999</v>
      </c>
    </row>
    <row r="22" spans="3:30" x14ac:dyDescent="0.3">
      <c r="C22" s="130">
        <v>8</v>
      </c>
      <c r="E22" s="131">
        <v>8.0002469999999999</v>
      </c>
      <c r="F22" s="1">
        <f t="shared" si="0"/>
        <v>2.469999999998862E-4</v>
      </c>
      <c r="J22" s="1">
        <f>J12-J10</f>
        <v>1.000022</v>
      </c>
      <c r="L22" s="130" t="s">
        <v>102</v>
      </c>
      <c r="M22" s="131">
        <v>0.37490000000000001</v>
      </c>
    </row>
    <row r="23" spans="3:30" x14ac:dyDescent="0.3">
      <c r="C23" s="130">
        <v>8.5</v>
      </c>
      <c r="E23" s="131">
        <v>8.5002390000000005</v>
      </c>
      <c r="F23" s="1">
        <f t="shared" si="0"/>
        <v>2.3900000000054433E-4</v>
      </c>
      <c r="J23">
        <v>0.99998399999999998</v>
      </c>
      <c r="L23" s="130" t="s">
        <v>103</v>
      </c>
      <c r="M23" s="131">
        <v>6.2480000000000001E-2</v>
      </c>
    </row>
    <row r="24" spans="3:30" x14ac:dyDescent="0.3">
      <c r="C24" s="130">
        <v>9</v>
      </c>
      <c r="E24" s="131">
        <v>9.0002510000000004</v>
      </c>
      <c r="F24" s="1">
        <f t="shared" si="0"/>
        <v>2.5100000000044531E-4</v>
      </c>
      <c r="J24" s="1">
        <f>J23-J22</f>
        <v>-3.7999999999982492E-5</v>
      </c>
      <c r="L24" s="130" t="s">
        <v>104</v>
      </c>
      <c r="M24" s="131">
        <v>0.12494</v>
      </c>
      <c r="P24" s="164"/>
    </row>
    <row r="25" spans="3:30" x14ac:dyDescent="0.3">
      <c r="C25" s="130">
        <v>9.5</v>
      </c>
      <c r="E25" s="131">
        <v>9.5003290000000007</v>
      </c>
      <c r="F25" s="1">
        <f t="shared" si="0"/>
        <v>3.2900000000068985E-4</v>
      </c>
      <c r="L25" s="130" t="s">
        <v>105</v>
      </c>
      <c r="M25" s="131">
        <v>0.18753</v>
      </c>
    </row>
    <row r="26" spans="3:30" x14ac:dyDescent="0.3">
      <c r="C26" s="130">
        <v>10</v>
      </c>
      <c r="E26" s="131">
        <v>10.000327</v>
      </c>
      <c r="F26" s="1">
        <f t="shared" si="0"/>
        <v>3.270000000004103E-4</v>
      </c>
      <c r="L26" s="130" t="s">
        <v>106</v>
      </c>
      <c r="M26" s="131">
        <v>6.25E-2</v>
      </c>
    </row>
    <row r="27" spans="3:30" x14ac:dyDescent="0.3">
      <c r="C27" s="130">
        <v>10.5</v>
      </c>
      <c r="E27" s="131">
        <v>10.500325999999999</v>
      </c>
      <c r="F27" s="1">
        <f t="shared" si="0"/>
        <v>3.2599999999938234E-4</v>
      </c>
      <c r="L27" s="132" t="s">
        <v>107</v>
      </c>
      <c r="M27" s="133">
        <v>0.12497</v>
      </c>
    </row>
    <row r="28" spans="3:30" x14ac:dyDescent="0.3">
      <c r="C28" s="130">
        <v>11</v>
      </c>
      <c r="E28" s="131">
        <v>11.000337999999999</v>
      </c>
      <c r="F28" s="1">
        <f t="shared" si="0"/>
        <v>3.3799999999928332E-4</v>
      </c>
    </row>
    <row r="29" spans="3:30" x14ac:dyDescent="0.3">
      <c r="C29" s="130">
        <v>11.5</v>
      </c>
      <c r="E29" s="131">
        <v>11.500375</v>
      </c>
      <c r="F29" s="1">
        <f t="shared" si="0"/>
        <v>3.7500000000001421E-4</v>
      </c>
    </row>
    <row r="30" spans="3:30" x14ac:dyDescent="0.3">
      <c r="C30" s="132">
        <v>12</v>
      </c>
      <c r="D30" s="127"/>
      <c r="E30" s="133">
        <v>12.000372</v>
      </c>
      <c r="F30" s="1">
        <f t="shared" si="0"/>
        <v>3.7200000000048306E-4</v>
      </c>
    </row>
    <row r="32" spans="3:30" ht="15" thickBot="1" x14ac:dyDescent="0.35">
      <c r="H32" t="s">
        <v>108</v>
      </c>
    </row>
    <row r="33" spans="8:14" x14ac:dyDescent="0.3">
      <c r="H33" s="3" t="s">
        <v>109</v>
      </c>
      <c r="I33" s="4" t="s">
        <v>110</v>
      </c>
      <c r="J33" s="4" t="s">
        <v>111</v>
      </c>
      <c r="K33" s="4" t="s">
        <v>112</v>
      </c>
      <c r="L33" s="4" t="s">
        <v>113</v>
      </c>
      <c r="M33" s="4" t="s">
        <v>114</v>
      </c>
      <c r="N33" s="5" t="s">
        <v>115</v>
      </c>
    </row>
    <row r="34" spans="8:14" ht="15" thickBot="1" x14ac:dyDescent="0.35">
      <c r="H34" s="9">
        <f>'OC1000 Calibration'!E6</f>
        <v>0.1</v>
      </c>
      <c r="I34" s="10">
        <f ca="1">(H34-K34)/(L34-K34)*(N34-M34)+M34</f>
        <v>0.10000340000000002</v>
      </c>
      <c r="J34" s="6">
        <f>COUNTIF($H$6:$H$18,"&lt;"&amp;H34)</f>
        <v>1</v>
      </c>
      <c r="K34" s="6">
        <f ca="1">INDIRECT(ADDRESS(J34+5,8))</f>
        <v>0</v>
      </c>
      <c r="L34" s="6">
        <f ca="1">INDIRECT(ADDRESS(J34+6,8))</f>
        <v>0.5</v>
      </c>
      <c r="M34" s="6">
        <f ca="1">INDIRECT(ADDRESS(J34+5,10))</f>
        <v>0</v>
      </c>
      <c r="N34" s="7">
        <f ca="1">INDIRECT(ADDRESS(J34+6,10))</f>
        <v>0.50001700000000004</v>
      </c>
    </row>
    <row r="35" spans="8:14" ht="15" thickBot="1" x14ac:dyDescent="0.35">
      <c r="H35" s="9">
        <f>'OC1000 Calibration'!E7</f>
        <v>0.5</v>
      </c>
      <c r="I35" s="10">
        <f t="shared" ref="I35:I47" ca="1" si="16">(H35-K35)/(L35-K35)*(N35-M35)+M35</f>
        <v>0.50001700000000004</v>
      </c>
      <c r="J35" s="6">
        <f t="shared" ref="J35:J47" si="17">COUNTIF($H$6:$H$18,"&lt;"&amp;H35)</f>
        <v>1</v>
      </c>
      <c r="K35" s="6">
        <f t="shared" ref="K35:K47" ca="1" si="18">INDIRECT(ADDRESS(J35+5,8))</f>
        <v>0</v>
      </c>
      <c r="L35" s="6">
        <f t="shared" ref="L35:L47" ca="1" si="19">INDIRECT(ADDRESS(J35+6,8))</f>
        <v>0.5</v>
      </c>
      <c r="M35" s="6">
        <f t="shared" ref="M35:M47" ca="1" si="20">INDIRECT(ADDRESS(J35+5,10))</f>
        <v>0</v>
      </c>
      <c r="N35" s="7">
        <f t="shared" ref="N35:N47" ca="1" si="21">INDIRECT(ADDRESS(J35+6,10))</f>
        <v>0.50001700000000004</v>
      </c>
    </row>
    <row r="36" spans="8:14" ht="15" thickBot="1" x14ac:dyDescent="0.35">
      <c r="H36" s="9">
        <f>'OC1000 Calibration'!E8</f>
        <v>1</v>
      </c>
      <c r="I36" s="10">
        <f t="shared" ca="1" si="16"/>
        <v>1.000027</v>
      </c>
      <c r="J36" s="6">
        <f t="shared" si="17"/>
        <v>2</v>
      </c>
      <c r="K36" s="6">
        <f t="shared" ca="1" si="18"/>
        <v>0.5</v>
      </c>
      <c r="L36" s="6">
        <f t="shared" ca="1" si="19"/>
        <v>1</v>
      </c>
      <c r="M36" s="6">
        <f t="shared" ca="1" si="20"/>
        <v>0.50001700000000004</v>
      </c>
      <c r="N36" s="7">
        <f t="shared" ca="1" si="21"/>
        <v>1.000027</v>
      </c>
    </row>
    <row r="37" spans="8:14" ht="15" thickBot="1" x14ac:dyDescent="0.35">
      <c r="H37" s="9">
        <f>'OC1000 Calibration'!E9</f>
        <v>1.5</v>
      </c>
      <c r="I37" s="10">
        <f t="shared" ca="1" si="16"/>
        <v>1.500024</v>
      </c>
      <c r="J37" s="6">
        <f t="shared" si="17"/>
        <v>3</v>
      </c>
      <c r="K37" s="6">
        <f t="shared" ca="1" si="18"/>
        <v>1</v>
      </c>
      <c r="L37" s="6">
        <f t="shared" ca="1" si="19"/>
        <v>1.5</v>
      </c>
      <c r="M37" s="6">
        <f t="shared" ca="1" si="20"/>
        <v>1.000027</v>
      </c>
      <c r="N37" s="7">
        <f t="shared" ca="1" si="21"/>
        <v>1.500024</v>
      </c>
    </row>
    <row r="38" spans="8:14" ht="15" thickBot="1" x14ac:dyDescent="0.35">
      <c r="H38" s="9">
        <f>'OC1000 Calibration'!E10</f>
        <v>1.7</v>
      </c>
      <c r="I38" s="10">
        <f t="shared" ca="1" si="16"/>
        <v>1.7000312</v>
      </c>
      <c r="J38" s="6">
        <f t="shared" si="17"/>
        <v>4</v>
      </c>
      <c r="K38" s="6">
        <f t="shared" ca="1" si="18"/>
        <v>1.5</v>
      </c>
      <c r="L38" s="6">
        <f t="shared" ca="1" si="19"/>
        <v>2</v>
      </c>
      <c r="M38" s="6">
        <f t="shared" ca="1" si="20"/>
        <v>1.500024</v>
      </c>
      <c r="N38" s="7">
        <f t="shared" ca="1" si="21"/>
        <v>2.0000420000000001</v>
      </c>
    </row>
    <row r="39" spans="8:14" ht="15" thickBot="1" x14ac:dyDescent="0.35">
      <c r="H39" s="9">
        <f>'OC1000 Calibration'!E11</f>
        <v>0</v>
      </c>
      <c r="I39" s="10" t="e">
        <f t="shared" ca="1" si="16"/>
        <v>#VALUE!</v>
      </c>
      <c r="J39" s="6">
        <f t="shared" si="17"/>
        <v>0</v>
      </c>
      <c r="K39" s="6" t="str">
        <f t="shared" ca="1" si="18"/>
        <v>Nominal</v>
      </c>
      <c r="L39" s="6">
        <f t="shared" ca="1" si="19"/>
        <v>0</v>
      </c>
      <c r="M39" s="6" t="str">
        <f t="shared" ca="1" si="20"/>
        <v>Actual</v>
      </c>
      <c r="N39" s="7">
        <f t="shared" ca="1" si="21"/>
        <v>0</v>
      </c>
    </row>
    <row r="40" spans="8:14" ht="15" thickBot="1" x14ac:dyDescent="0.35">
      <c r="H40" s="9">
        <f>'OC1000 Calibration'!E12</f>
        <v>0</v>
      </c>
      <c r="I40" s="10" t="e">
        <f t="shared" ca="1" si="16"/>
        <v>#VALUE!</v>
      </c>
      <c r="J40" s="6">
        <f t="shared" si="17"/>
        <v>0</v>
      </c>
      <c r="K40" s="6" t="str">
        <f t="shared" ca="1" si="18"/>
        <v>Nominal</v>
      </c>
      <c r="L40" s="6">
        <f t="shared" ca="1" si="19"/>
        <v>0</v>
      </c>
      <c r="M40" s="6" t="str">
        <f t="shared" ca="1" si="20"/>
        <v>Actual</v>
      </c>
      <c r="N40" s="7">
        <f t="shared" ca="1" si="21"/>
        <v>0</v>
      </c>
    </row>
    <row r="41" spans="8:14" ht="15" thickBot="1" x14ac:dyDescent="0.35">
      <c r="H41" s="9">
        <f>'OC1000 Calibration'!E13</f>
        <v>0</v>
      </c>
      <c r="I41" s="10" t="e">
        <f t="shared" ca="1" si="16"/>
        <v>#VALUE!</v>
      </c>
      <c r="J41" s="6">
        <f t="shared" si="17"/>
        <v>0</v>
      </c>
      <c r="K41" s="6" t="str">
        <f t="shared" ca="1" si="18"/>
        <v>Nominal</v>
      </c>
      <c r="L41" s="6">
        <f t="shared" ca="1" si="19"/>
        <v>0</v>
      </c>
      <c r="M41" s="6" t="str">
        <f t="shared" ca="1" si="20"/>
        <v>Actual</v>
      </c>
      <c r="N41" s="7">
        <f t="shared" ca="1" si="21"/>
        <v>0</v>
      </c>
    </row>
    <row r="42" spans="8:14" ht="15" thickBot="1" x14ac:dyDescent="0.35">
      <c r="H42" s="9">
        <f>'OC1000 Calibration'!E14</f>
        <v>0</v>
      </c>
      <c r="I42" s="10" t="e">
        <f t="shared" ca="1" si="16"/>
        <v>#VALUE!</v>
      </c>
      <c r="J42" s="6">
        <f t="shared" si="17"/>
        <v>0</v>
      </c>
      <c r="K42" s="6" t="str">
        <f t="shared" ca="1" si="18"/>
        <v>Nominal</v>
      </c>
      <c r="L42" s="6">
        <f t="shared" ca="1" si="19"/>
        <v>0</v>
      </c>
      <c r="M42" s="6" t="str">
        <f t="shared" ca="1" si="20"/>
        <v>Actual</v>
      </c>
      <c r="N42" s="7">
        <f t="shared" ca="1" si="21"/>
        <v>0</v>
      </c>
    </row>
    <row r="43" spans="8:14" ht="15" thickBot="1" x14ac:dyDescent="0.35">
      <c r="H43" s="9">
        <f>'OC1000 Calibration'!E15</f>
        <v>0</v>
      </c>
      <c r="I43" s="10" t="e">
        <f t="shared" ca="1" si="16"/>
        <v>#VALUE!</v>
      </c>
      <c r="J43" s="6">
        <f t="shared" si="17"/>
        <v>0</v>
      </c>
      <c r="K43" s="6" t="str">
        <f t="shared" ca="1" si="18"/>
        <v>Nominal</v>
      </c>
      <c r="L43" s="6">
        <f t="shared" ca="1" si="19"/>
        <v>0</v>
      </c>
      <c r="M43" s="6" t="str">
        <f t="shared" ca="1" si="20"/>
        <v>Actual</v>
      </c>
      <c r="N43" s="7">
        <f t="shared" ca="1" si="21"/>
        <v>0</v>
      </c>
    </row>
    <row r="44" spans="8:14" ht="15" thickBot="1" x14ac:dyDescent="0.35">
      <c r="H44" s="9">
        <f>'OC1000 Calibration'!E16</f>
        <v>0</v>
      </c>
      <c r="I44" s="10" t="e">
        <f t="shared" ca="1" si="16"/>
        <v>#VALUE!</v>
      </c>
      <c r="J44" s="6">
        <f t="shared" si="17"/>
        <v>0</v>
      </c>
      <c r="K44" s="6" t="str">
        <f t="shared" ca="1" si="18"/>
        <v>Nominal</v>
      </c>
      <c r="L44" s="6">
        <f t="shared" ca="1" si="19"/>
        <v>0</v>
      </c>
      <c r="M44" s="6" t="str">
        <f t="shared" ca="1" si="20"/>
        <v>Actual</v>
      </c>
      <c r="N44" s="7">
        <f t="shared" ca="1" si="21"/>
        <v>0</v>
      </c>
    </row>
    <row r="45" spans="8:14" ht="15" thickBot="1" x14ac:dyDescent="0.35">
      <c r="H45" s="9">
        <f>'OC1000 Calibration'!E17</f>
        <v>0</v>
      </c>
      <c r="I45" s="10" t="e">
        <f t="shared" ca="1" si="16"/>
        <v>#VALUE!</v>
      </c>
      <c r="J45" s="6">
        <f t="shared" si="17"/>
        <v>0</v>
      </c>
      <c r="K45" s="6" t="str">
        <f t="shared" ca="1" si="18"/>
        <v>Nominal</v>
      </c>
      <c r="L45" s="6">
        <f t="shared" ca="1" si="19"/>
        <v>0</v>
      </c>
      <c r="M45" s="6" t="str">
        <f t="shared" ca="1" si="20"/>
        <v>Actual</v>
      </c>
      <c r="N45" s="7">
        <f t="shared" ca="1" si="21"/>
        <v>0</v>
      </c>
    </row>
    <row r="46" spans="8:14" ht="15" thickBot="1" x14ac:dyDescent="0.35">
      <c r="H46" s="9">
        <f>'OC1000 Calibration'!E18</f>
        <v>0</v>
      </c>
      <c r="I46" s="10" t="e">
        <f t="shared" ca="1" si="16"/>
        <v>#VALUE!</v>
      </c>
      <c r="J46" s="6">
        <f t="shared" si="17"/>
        <v>0</v>
      </c>
      <c r="K46" s="6" t="str">
        <f t="shared" ca="1" si="18"/>
        <v>Nominal</v>
      </c>
      <c r="L46" s="6">
        <f t="shared" ca="1" si="19"/>
        <v>0</v>
      </c>
      <c r="M46" s="6" t="str">
        <f t="shared" ca="1" si="20"/>
        <v>Actual</v>
      </c>
      <c r="N46" s="7">
        <f t="shared" ca="1" si="21"/>
        <v>0</v>
      </c>
    </row>
    <row r="47" spans="8:14" ht="15" thickBot="1" x14ac:dyDescent="0.35">
      <c r="H47" s="9">
        <f>'OC1000 Calibration'!E19</f>
        <v>0</v>
      </c>
      <c r="I47" s="10" t="e">
        <f t="shared" ca="1" si="16"/>
        <v>#VALUE!</v>
      </c>
      <c r="J47" s="6">
        <f t="shared" si="17"/>
        <v>0</v>
      </c>
      <c r="K47" s="6" t="str">
        <f t="shared" ca="1" si="18"/>
        <v>Nominal</v>
      </c>
      <c r="L47" s="6">
        <f t="shared" ca="1" si="19"/>
        <v>0</v>
      </c>
      <c r="M47" s="6" t="str">
        <f t="shared" ca="1" si="20"/>
        <v>Actual</v>
      </c>
      <c r="N47" s="7">
        <f t="shared" ca="1" si="21"/>
        <v>0</v>
      </c>
    </row>
    <row r="48" spans="8:14" ht="15" thickBot="1" x14ac:dyDescent="0.35">
      <c r="H48" s="9"/>
      <c r="I48" s="10">
        <f t="shared" ref="I48" ca="1" si="22">(H48-K48)/(L48-K48)*(N48-M48)+M48</f>
        <v>0</v>
      </c>
      <c r="J48" s="6">
        <f t="shared" ref="J48" si="23">COUNTIF($H$6:$H$18,"&lt;"&amp;H48)</f>
        <v>0</v>
      </c>
      <c r="K48" s="6">
        <f t="shared" ref="K48" ca="1" si="24">INDIRECT(ADDRESS(J48+6,8))</f>
        <v>0</v>
      </c>
      <c r="L48" s="6">
        <f t="shared" ref="L48" ca="1" si="25">INDIRECT(ADDRESS(J48+18,8))</f>
        <v>6</v>
      </c>
      <c r="M48" s="6">
        <f t="shared" ref="M48" ca="1" si="26">INDIRECT(ADDRESS(J48+6,10))</f>
        <v>0</v>
      </c>
      <c r="N48" s="7">
        <f t="shared" ref="N48" ca="1" si="27">INDIRECT(ADDRESS(J48+18,10))</f>
        <v>6.0000270000000002</v>
      </c>
    </row>
  </sheetData>
  <sheetProtection algorithmName="SHA-512" hashValue="LYe1vE5sMW2ymNHksm5WAgdpXqtPEQtDA+r3650jJutZC2ecPjByF6b0Qj5FX30WBuyuhiwekrfvDS2m2+HJng==" saltValue="jg+PCKRRz3sUaPeTYmOYfA==" spinCount="100000" sheet="1" selectLockedCells="1" selectUnlockedCells="1"/>
  <mergeCells count="3">
    <mergeCell ref="W4:W5"/>
    <mergeCell ref="AC4:AC5"/>
    <mergeCell ref="Z5:AB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CCB0-8100-4C62-868A-1DA335A19436}">
  <dimension ref="C1:AD48"/>
  <sheetViews>
    <sheetView topLeftCell="J1" zoomScaleNormal="100" workbookViewId="0">
      <selection activeCell="AB28" sqref="AB28"/>
    </sheetView>
  </sheetViews>
  <sheetFormatPr defaultRowHeight="14.4" x14ac:dyDescent="0.3"/>
  <cols>
    <col min="5" max="5" width="10.5546875" bestFit="1" customWidth="1"/>
    <col min="6" max="6" width="12.5546875" customWidth="1"/>
    <col min="9" max="9" width="10.5546875" customWidth="1"/>
    <col min="11" max="11" width="10.33203125" customWidth="1"/>
    <col min="13" max="13" width="11.5546875" customWidth="1"/>
    <col min="16" max="16" width="14.88671875" customWidth="1"/>
    <col min="17" max="17" width="11.33203125" customWidth="1"/>
    <col min="22" max="22" width="11.6640625" style="43" customWidth="1"/>
  </cols>
  <sheetData>
    <row r="1" spans="3:30" ht="15" thickBot="1" x14ac:dyDescent="0.35">
      <c r="K1" t="s">
        <v>189</v>
      </c>
      <c r="M1" s="28">
        <f>DATE(YEAR(M2)+3,MONTH(M2),DAY(M2))</f>
        <v>46713</v>
      </c>
    </row>
    <row r="2" spans="3:30" ht="15" thickBot="1" x14ac:dyDescent="0.35">
      <c r="F2" t="s">
        <v>76</v>
      </c>
      <c r="K2" s="150" t="s">
        <v>188</v>
      </c>
      <c r="L2" s="151"/>
      <c r="M2" s="152">
        <v>45618</v>
      </c>
    </row>
    <row r="3" spans="3:30" x14ac:dyDescent="0.3">
      <c r="C3" t="s">
        <v>186</v>
      </c>
    </row>
    <row r="4" spans="3:30" x14ac:dyDescent="0.3">
      <c r="C4" t="s">
        <v>78</v>
      </c>
      <c r="H4" t="s">
        <v>79</v>
      </c>
      <c r="L4" s="128" t="s">
        <v>80</v>
      </c>
      <c r="M4" s="129" t="s">
        <v>81</v>
      </c>
      <c r="O4" t="s">
        <v>82</v>
      </c>
      <c r="S4" t="s">
        <v>83</v>
      </c>
      <c r="W4" s="178" t="s">
        <v>197</v>
      </c>
      <c r="X4" t="s">
        <v>196</v>
      </c>
      <c r="AC4" s="178" t="s">
        <v>198</v>
      </c>
    </row>
    <row r="5" spans="3:30" x14ac:dyDescent="0.3">
      <c r="C5" s="128" t="s">
        <v>11</v>
      </c>
      <c r="D5" s="136" t="s">
        <v>84</v>
      </c>
      <c r="E5" s="129" t="s">
        <v>85</v>
      </c>
      <c r="H5" s="128" t="s">
        <v>11</v>
      </c>
      <c r="I5" s="136" t="s">
        <v>84</v>
      </c>
      <c r="J5" s="129" t="s">
        <v>85</v>
      </c>
      <c r="L5" s="130" t="s">
        <v>86</v>
      </c>
      <c r="M5" s="131">
        <v>6.2219999999999998E-2</v>
      </c>
      <c r="O5" s="128" t="s">
        <v>11</v>
      </c>
      <c r="P5" s="129" t="s">
        <v>87</v>
      </c>
      <c r="Q5" t="s">
        <v>88</v>
      </c>
      <c r="S5" t="s">
        <v>13</v>
      </c>
      <c r="T5" t="s">
        <v>14</v>
      </c>
      <c r="U5" t="s">
        <v>15</v>
      </c>
      <c r="V5" t="s">
        <v>89</v>
      </c>
      <c r="W5" s="178"/>
      <c r="X5" t="s">
        <v>13</v>
      </c>
      <c r="Y5" t="s">
        <v>14</v>
      </c>
      <c r="Z5" s="177" t="s">
        <v>199</v>
      </c>
      <c r="AA5" s="177"/>
      <c r="AB5" s="177"/>
      <c r="AC5" s="178"/>
      <c r="AD5" t="s">
        <v>15</v>
      </c>
    </row>
    <row r="6" spans="3:30" x14ac:dyDescent="0.3">
      <c r="C6" s="130">
        <v>0</v>
      </c>
      <c r="E6" s="134">
        <v>0</v>
      </c>
      <c r="F6" s="1">
        <f>E6-C6</f>
        <v>0</v>
      </c>
      <c r="H6" s="130">
        <v>0</v>
      </c>
      <c r="J6" s="134">
        <f>(I6*0.000001)+H6</f>
        <v>0</v>
      </c>
      <c r="K6" s="1">
        <f>J6-H6</f>
        <v>0</v>
      </c>
      <c r="L6" s="130" t="s">
        <v>25</v>
      </c>
      <c r="M6" s="131">
        <v>0.24970000000000001</v>
      </c>
      <c r="O6" s="130">
        <v>15</v>
      </c>
      <c r="P6" s="134">
        <v>14.997999999999999</v>
      </c>
      <c r="Q6" s="2">
        <f>P6-O6</f>
        <v>-2.0000000000006679E-3</v>
      </c>
      <c r="S6">
        <f>X6</f>
        <v>14</v>
      </c>
      <c r="T6">
        <f>Z6</f>
        <v>59</v>
      </c>
      <c r="U6">
        <f>AD6</f>
        <v>52.799999999997596</v>
      </c>
      <c r="V6">
        <f>U6+(T6*60)+(S6*60*60)</f>
        <v>53992.799999999996</v>
      </c>
      <c r="W6">
        <f>O6-ROUNDDOWN(P6,0)+Q6</f>
        <v>0.99799999999999933</v>
      </c>
      <c r="X6" s="179">
        <f>VALUE(LEFT(P6,2))</f>
        <v>14</v>
      </c>
      <c r="Y6" s="166">
        <f>W6*60</f>
        <v>59.87999999999996</v>
      </c>
      <c r="Z6">
        <f>VALUE(LEFT(Y6,2))</f>
        <v>59</v>
      </c>
      <c r="AA6" s="176">
        <f>60-Y6</f>
        <v>0.12000000000004007</v>
      </c>
      <c r="AB6" s="176">
        <f>60-ROUNDDOWN(Y6,0)</f>
        <v>1</v>
      </c>
      <c r="AC6" s="176">
        <f>AB6-AA6</f>
        <v>0.87999999999995993</v>
      </c>
      <c r="AD6" s="179">
        <f>AC6*60</f>
        <v>52.799999999997596</v>
      </c>
    </row>
    <row r="7" spans="3:30" x14ac:dyDescent="0.3">
      <c r="C7" s="130">
        <v>0.5</v>
      </c>
      <c r="E7" s="131">
        <v>0.50005599999999994</v>
      </c>
      <c r="F7" s="1">
        <f t="shared" ref="F7:F30" si="0">E7-C7</f>
        <v>5.5999999999944983E-5</v>
      </c>
      <c r="H7" s="130">
        <v>0.5</v>
      </c>
      <c r="I7">
        <f>K7*1000000</f>
        <v>129.99999999996348</v>
      </c>
      <c r="J7" s="131">
        <v>0.50012999999999996</v>
      </c>
      <c r="K7" s="1">
        <f t="shared" ref="K7:K18" si="1">J7-H7</f>
        <v>1.2999999999996348E-4</v>
      </c>
      <c r="L7" s="130" t="s">
        <v>26</v>
      </c>
      <c r="M7" s="131">
        <v>0.62470000000000003</v>
      </c>
      <c r="O7" s="130">
        <v>30</v>
      </c>
      <c r="P7" s="134">
        <v>30.024000000000001</v>
      </c>
      <c r="Q7" s="2">
        <f t="shared" ref="Q7:Q17" si="2">P7-O7</f>
        <v>2.4000000000000909E-2</v>
      </c>
      <c r="S7">
        <f t="shared" ref="S7:S17" si="3">X7</f>
        <v>30</v>
      </c>
      <c r="T7">
        <f t="shared" ref="T7:T17" si="4">Z7</f>
        <v>1</v>
      </c>
      <c r="U7">
        <f>AD7</f>
        <v>26.400000000003274</v>
      </c>
      <c r="V7">
        <f t="shared" ref="V7:V17" si="5">U7+(T7*60)+(S7*60*60)</f>
        <v>108086.40000000001</v>
      </c>
      <c r="W7">
        <f t="shared" ref="W7:W17" si="6">O7-ROUNDDOWN(P7,0)+Q7</f>
        <v>2.4000000000000909E-2</v>
      </c>
      <c r="X7" s="179">
        <f t="shared" ref="X7:X11" si="7">VALUE(LEFT(P7,2))</f>
        <v>30</v>
      </c>
      <c r="Y7" s="166">
        <f>W7*60</f>
        <v>1.4400000000000546</v>
      </c>
      <c r="Z7">
        <f t="shared" ref="Z7:Z11" si="8">VALUE(LEFT(Y7,2))</f>
        <v>1</v>
      </c>
      <c r="AA7" s="176">
        <f t="shared" ref="AA7:AA17" si="9">60-Y7</f>
        <v>58.559999999999945</v>
      </c>
      <c r="AB7" s="176">
        <f t="shared" ref="AB7:AB17" si="10">60-ROUNDDOWN(Y7,0)</f>
        <v>59</v>
      </c>
      <c r="AC7" s="176">
        <f t="shared" ref="AC7:AC17" si="11">AB7-AA7</f>
        <v>0.44000000000005457</v>
      </c>
      <c r="AD7" s="179">
        <f t="shared" ref="AD7:AD17" si="12">AC7*60</f>
        <v>26.400000000003274</v>
      </c>
    </row>
    <row r="8" spans="3:30" x14ac:dyDescent="0.3">
      <c r="C8" s="130">
        <v>1</v>
      </c>
      <c r="E8" s="131">
        <v>1.0000709999999999</v>
      </c>
      <c r="F8" s="1">
        <f t="shared" si="0"/>
        <v>7.0999999999932228E-5</v>
      </c>
      <c r="H8" s="130">
        <v>1</v>
      </c>
      <c r="I8">
        <f t="shared" ref="I8:I18" si="13">K8*1000000</f>
        <v>19.999999999908979</v>
      </c>
      <c r="J8" s="131">
        <v>1.0000199999999999</v>
      </c>
      <c r="K8" s="1">
        <f t="shared" si="1"/>
        <v>1.9999999999908979E-5</v>
      </c>
      <c r="L8" s="130" t="s">
        <v>90</v>
      </c>
      <c r="M8" s="131">
        <v>0.99968999999999997</v>
      </c>
      <c r="O8" s="130">
        <v>45</v>
      </c>
      <c r="P8" s="134">
        <v>45.006500000000003</v>
      </c>
      <c r="Q8" s="2">
        <f t="shared" si="2"/>
        <v>6.5000000000026148E-3</v>
      </c>
      <c r="S8">
        <f t="shared" si="3"/>
        <v>45</v>
      </c>
      <c r="T8">
        <f t="shared" si="4"/>
        <v>0</v>
      </c>
      <c r="U8">
        <f>AD8</f>
        <v>23.400000000009413</v>
      </c>
      <c r="V8">
        <f t="shared" si="5"/>
        <v>162023.40000000002</v>
      </c>
      <c r="W8">
        <f t="shared" si="6"/>
        <v>6.5000000000026148E-3</v>
      </c>
      <c r="X8" s="179">
        <f t="shared" si="7"/>
        <v>45</v>
      </c>
      <c r="Y8" s="166">
        <f>W8*60</f>
        <v>0.39000000000015689</v>
      </c>
      <c r="Z8">
        <f t="shared" si="8"/>
        <v>0</v>
      </c>
      <c r="AA8" s="176">
        <f t="shared" si="9"/>
        <v>59.609999999999843</v>
      </c>
      <c r="AB8" s="176">
        <f t="shared" si="10"/>
        <v>60</v>
      </c>
      <c r="AC8" s="176">
        <f t="shared" si="11"/>
        <v>0.39000000000015689</v>
      </c>
      <c r="AD8" s="179">
        <f t="shared" si="12"/>
        <v>23.400000000009413</v>
      </c>
    </row>
    <row r="9" spans="3:30" x14ac:dyDescent="0.3">
      <c r="C9" s="130">
        <v>1.5</v>
      </c>
      <c r="E9" s="131">
        <v>1.500129</v>
      </c>
      <c r="F9" s="1">
        <f t="shared" si="0"/>
        <v>1.2900000000004574E-4</v>
      </c>
      <c r="H9" s="130">
        <v>1.5</v>
      </c>
      <c r="I9">
        <f t="shared" si="13"/>
        <v>199.99999999997797</v>
      </c>
      <c r="J9" s="131">
        <v>1.5002</v>
      </c>
      <c r="K9" s="1">
        <f t="shared" si="1"/>
        <v>1.9999999999997797E-4</v>
      </c>
      <c r="L9" s="130" t="s">
        <v>91</v>
      </c>
      <c r="M9" s="131">
        <v>1.2496799999999999</v>
      </c>
      <c r="O9" s="130">
        <v>60</v>
      </c>
      <c r="P9" s="134">
        <v>59.9925</v>
      </c>
      <c r="Q9" s="2">
        <f t="shared" si="2"/>
        <v>-7.5000000000002842E-3</v>
      </c>
      <c r="S9">
        <f t="shared" si="3"/>
        <v>59</v>
      </c>
      <c r="T9">
        <f t="shared" si="4"/>
        <v>59</v>
      </c>
      <c r="U9">
        <f>AD9</f>
        <v>32.999999999998977</v>
      </c>
      <c r="V9">
        <f t="shared" si="5"/>
        <v>215973</v>
      </c>
      <c r="W9">
        <f t="shared" si="6"/>
        <v>0.99249999999999972</v>
      </c>
      <c r="X9" s="179">
        <f t="shared" si="7"/>
        <v>59</v>
      </c>
      <c r="Y9" s="166">
        <f>W9*60</f>
        <v>59.549999999999983</v>
      </c>
      <c r="Z9">
        <f t="shared" si="8"/>
        <v>59</v>
      </c>
      <c r="AA9" s="176">
        <f t="shared" si="9"/>
        <v>0.45000000000001705</v>
      </c>
      <c r="AB9" s="176">
        <f t="shared" si="10"/>
        <v>1</v>
      </c>
      <c r="AC9" s="176">
        <f t="shared" si="11"/>
        <v>0.54999999999998295</v>
      </c>
      <c r="AD9" s="179">
        <f t="shared" si="12"/>
        <v>32.999999999998977</v>
      </c>
    </row>
    <row r="10" spans="3:30" x14ac:dyDescent="0.3">
      <c r="C10" s="130">
        <v>2</v>
      </c>
      <c r="E10" s="131">
        <v>2.0001679999999999</v>
      </c>
      <c r="F10" s="1">
        <f t="shared" si="0"/>
        <v>1.6799999999994597E-4</v>
      </c>
      <c r="H10" s="130">
        <v>1.7</v>
      </c>
      <c r="I10">
        <f t="shared" si="13"/>
        <v>140.00000000002899</v>
      </c>
      <c r="J10" s="131">
        <v>1.70014</v>
      </c>
      <c r="K10" s="1">
        <f t="shared" si="1"/>
        <v>1.4000000000002899E-4</v>
      </c>
      <c r="L10" s="130" t="s">
        <v>27</v>
      </c>
      <c r="M10" s="131">
        <v>6.2199999999999998E-2</v>
      </c>
      <c r="O10" s="130">
        <v>75</v>
      </c>
      <c r="P10" s="134">
        <v>74.998999999999995</v>
      </c>
      <c r="Q10" s="2">
        <f t="shared" si="2"/>
        <v>-1.0000000000047748E-3</v>
      </c>
      <c r="S10">
        <f t="shared" si="3"/>
        <v>74</v>
      </c>
      <c r="T10">
        <f t="shared" si="4"/>
        <v>59</v>
      </c>
      <c r="U10">
        <f>AD10</f>
        <v>56.399999999982811</v>
      </c>
      <c r="V10">
        <f t="shared" si="5"/>
        <v>269996.39999999997</v>
      </c>
      <c r="W10">
        <f t="shared" si="6"/>
        <v>0.99899999999999523</v>
      </c>
      <c r="X10" s="179">
        <f t="shared" si="7"/>
        <v>74</v>
      </c>
      <c r="Y10" s="166">
        <f>W10*60</f>
        <v>59.939999999999714</v>
      </c>
      <c r="Z10">
        <f t="shared" si="8"/>
        <v>59</v>
      </c>
      <c r="AA10" s="176">
        <f t="shared" si="9"/>
        <v>6.0000000000286491E-2</v>
      </c>
      <c r="AB10" s="176">
        <f t="shared" si="10"/>
        <v>1</v>
      </c>
      <c r="AC10" s="176">
        <f t="shared" si="11"/>
        <v>0.93999999999971351</v>
      </c>
      <c r="AD10" s="179">
        <f t="shared" si="12"/>
        <v>56.399999999982811</v>
      </c>
    </row>
    <row r="11" spans="3:30" x14ac:dyDescent="0.3">
      <c r="C11" s="130">
        <v>2.5</v>
      </c>
      <c r="E11" s="131">
        <v>2.5001679999999999</v>
      </c>
      <c r="F11" s="1">
        <f t="shared" si="0"/>
        <v>1.6799999999994597E-4</v>
      </c>
      <c r="H11" s="130"/>
      <c r="I11">
        <f t="shared" si="13"/>
        <v>0</v>
      </c>
      <c r="J11" s="131"/>
      <c r="K11" s="1">
        <f>J11-H11</f>
        <v>0</v>
      </c>
      <c r="L11" s="130" t="s">
        <v>92</v>
      </c>
      <c r="M11" s="131">
        <v>0.18719</v>
      </c>
      <c r="O11" s="130">
        <v>90</v>
      </c>
      <c r="P11" s="134">
        <v>89.994299999999996</v>
      </c>
      <c r="Q11" s="2">
        <f t="shared" si="2"/>
        <v>-5.7000000000044793E-3</v>
      </c>
      <c r="S11">
        <f t="shared" si="3"/>
        <v>89</v>
      </c>
      <c r="T11">
        <f t="shared" si="4"/>
        <v>59</v>
      </c>
      <c r="U11">
        <f>AD11</f>
        <v>39.479999999983875</v>
      </c>
      <c r="V11">
        <f t="shared" si="5"/>
        <v>323979.48</v>
      </c>
      <c r="W11">
        <f t="shared" si="6"/>
        <v>0.99429999999999552</v>
      </c>
      <c r="X11" s="179">
        <f t="shared" si="7"/>
        <v>89</v>
      </c>
      <c r="Y11" s="166">
        <f>W11*60</f>
        <v>59.657999999999731</v>
      </c>
      <c r="Z11">
        <f t="shared" si="8"/>
        <v>59</v>
      </c>
      <c r="AA11" s="176">
        <f t="shared" si="9"/>
        <v>0.34200000000026876</v>
      </c>
      <c r="AB11" s="176">
        <f t="shared" si="10"/>
        <v>1</v>
      </c>
      <c r="AC11" s="176">
        <f t="shared" si="11"/>
        <v>0.65799999999973124</v>
      </c>
      <c r="AD11" s="179">
        <f t="shared" si="12"/>
        <v>39.479999999983875</v>
      </c>
    </row>
    <row r="12" spans="3:30" x14ac:dyDescent="0.3">
      <c r="C12" s="130">
        <v>3</v>
      </c>
      <c r="E12" s="131">
        <v>3.0002059999999999</v>
      </c>
      <c r="F12" s="1">
        <f t="shared" si="0"/>
        <v>2.0599999999992846E-4</v>
      </c>
      <c r="H12" s="130"/>
      <c r="I12">
        <f t="shared" si="13"/>
        <v>0</v>
      </c>
      <c r="J12" s="131"/>
      <c r="K12" s="1">
        <f t="shared" si="1"/>
        <v>0</v>
      </c>
      <c r="L12" s="130" t="s">
        <v>28</v>
      </c>
      <c r="M12" s="131">
        <v>0.24690000000000001</v>
      </c>
      <c r="O12" s="130">
        <v>105</v>
      </c>
      <c r="P12" s="134">
        <v>104.9965</v>
      </c>
      <c r="Q12" s="2">
        <f t="shared" si="2"/>
        <v>-3.5000000000025011E-3</v>
      </c>
      <c r="S12">
        <f t="shared" si="3"/>
        <v>104</v>
      </c>
      <c r="T12">
        <f t="shared" si="4"/>
        <v>59</v>
      </c>
      <c r="U12">
        <f>AD12</f>
        <v>47.399999999990996</v>
      </c>
      <c r="V12">
        <f t="shared" si="5"/>
        <v>377987.39999999997</v>
      </c>
      <c r="W12">
        <f t="shared" si="6"/>
        <v>0.9964999999999975</v>
      </c>
      <c r="X12" s="179">
        <f>VALUE(LEFT(P12,3))</f>
        <v>104</v>
      </c>
      <c r="Y12" s="166">
        <f>W12*60</f>
        <v>59.78999999999985</v>
      </c>
      <c r="Z12">
        <f>VALUE(LEFT(Y12,2))</f>
        <v>59</v>
      </c>
      <c r="AA12" s="176">
        <f t="shared" si="9"/>
        <v>0.21000000000015007</v>
      </c>
      <c r="AB12" s="176">
        <f t="shared" si="10"/>
        <v>1</v>
      </c>
      <c r="AC12" s="176">
        <f t="shared" si="11"/>
        <v>0.78999999999984993</v>
      </c>
      <c r="AD12" s="179">
        <f t="shared" si="12"/>
        <v>47.399999999990996</v>
      </c>
    </row>
    <row r="13" spans="3:30" x14ac:dyDescent="0.3">
      <c r="C13" s="130">
        <v>3.5</v>
      </c>
      <c r="E13" s="131">
        <v>3.5002610000000001</v>
      </c>
      <c r="F13" s="1">
        <f t="shared" si="0"/>
        <v>2.6100000000006673E-4</v>
      </c>
      <c r="H13" s="130"/>
      <c r="I13">
        <f t="shared" si="13"/>
        <v>0</v>
      </c>
      <c r="J13" s="131"/>
      <c r="K13" s="1">
        <f t="shared" si="1"/>
        <v>0</v>
      </c>
      <c r="L13" s="130" t="s">
        <v>93</v>
      </c>
      <c r="M13" s="131">
        <v>0.43719999999999998</v>
      </c>
      <c r="O13" s="130">
        <v>120</v>
      </c>
      <c r="P13" s="134">
        <v>120.00839999999999</v>
      </c>
      <c r="Q13" s="2">
        <f t="shared" si="2"/>
        <v>8.399999999994634E-3</v>
      </c>
      <c r="S13">
        <f t="shared" si="3"/>
        <v>120</v>
      </c>
      <c r="T13">
        <f t="shared" si="4"/>
        <v>0</v>
      </c>
      <c r="U13">
        <f>AD13</f>
        <v>30.239999999980682</v>
      </c>
      <c r="V13">
        <f t="shared" si="5"/>
        <v>432030.24</v>
      </c>
      <c r="W13">
        <f t="shared" si="6"/>
        <v>8.399999999994634E-3</v>
      </c>
      <c r="X13" s="179">
        <f t="shared" ref="X13:X17" si="14">VALUE(LEFT(P13,3))</f>
        <v>120</v>
      </c>
      <c r="Y13" s="166">
        <f>W13*60</f>
        <v>0.50399999999967804</v>
      </c>
      <c r="Z13">
        <f t="shared" ref="Z13:Z17" si="15">VALUE(LEFT(Y13,2))</f>
        <v>0</v>
      </c>
      <c r="AA13" s="176">
        <f t="shared" si="9"/>
        <v>59.496000000000322</v>
      </c>
      <c r="AB13" s="176">
        <f t="shared" si="10"/>
        <v>60</v>
      </c>
      <c r="AC13" s="176">
        <f t="shared" si="11"/>
        <v>0.50399999999967804</v>
      </c>
      <c r="AD13" s="179">
        <f t="shared" si="12"/>
        <v>30.239999999980682</v>
      </c>
    </row>
    <row r="14" spans="3:30" x14ac:dyDescent="0.3">
      <c r="C14" s="130">
        <v>4</v>
      </c>
      <c r="E14" s="131">
        <v>4.000273</v>
      </c>
      <c r="F14" s="1">
        <f t="shared" si="0"/>
        <v>2.7299999999996771E-4</v>
      </c>
      <c r="H14" s="130"/>
      <c r="I14">
        <f t="shared" si="13"/>
        <v>0</v>
      </c>
      <c r="J14" s="131"/>
      <c r="K14" s="1">
        <f t="shared" si="1"/>
        <v>0</v>
      </c>
      <c r="L14" s="130" t="s">
        <v>94</v>
      </c>
      <c r="M14" s="131">
        <v>0.62470999999999999</v>
      </c>
      <c r="O14" s="130">
        <v>135</v>
      </c>
      <c r="P14" s="134">
        <v>134.99340000000001</v>
      </c>
      <c r="Q14" s="2">
        <f t="shared" si="2"/>
        <v>-6.5999999999917236E-3</v>
      </c>
      <c r="S14">
        <f t="shared" si="3"/>
        <v>134</v>
      </c>
      <c r="T14">
        <f t="shared" si="4"/>
        <v>59</v>
      </c>
      <c r="U14">
        <f>AD14</f>
        <v>36.240000000029795</v>
      </c>
      <c r="V14">
        <f t="shared" si="5"/>
        <v>485976.24000000005</v>
      </c>
      <c r="W14">
        <f t="shared" si="6"/>
        <v>0.99340000000000828</v>
      </c>
      <c r="X14" s="179">
        <f t="shared" si="14"/>
        <v>134</v>
      </c>
      <c r="Y14" s="166">
        <f>W14*60</f>
        <v>59.604000000000497</v>
      </c>
      <c r="Z14">
        <f t="shared" si="15"/>
        <v>59</v>
      </c>
      <c r="AA14" s="176">
        <f t="shared" si="9"/>
        <v>0.39599999999950342</v>
      </c>
      <c r="AB14" s="176">
        <f t="shared" si="10"/>
        <v>1</v>
      </c>
      <c r="AC14" s="176">
        <f t="shared" si="11"/>
        <v>0.60400000000049658</v>
      </c>
      <c r="AD14" s="179">
        <f t="shared" si="12"/>
        <v>36.240000000029795</v>
      </c>
    </row>
    <row r="15" spans="3:30" x14ac:dyDescent="0.3">
      <c r="C15" s="130">
        <v>4.5</v>
      </c>
      <c r="E15" s="131">
        <v>4.5003029999999997</v>
      </c>
      <c r="F15" s="1">
        <f t="shared" si="0"/>
        <v>3.0299999999972016E-4</v>
      </c>
      <c r="H15" s="130"/>
      <c r="I15">
        <f t="shared" si="13"/>
        <v>0</v>
      </c>
      <c r="J15" s="131"/>
      <c r="K15" s="1">
        <f t="shared" si="1"/>
        <v>0</v>
      </c>
      <c r="L15" s="130" t="s">
        <v>95</v>
      </c>
      <c r="M15" s="131">
        <v>6.2260000000000003E-2</v>
      </c>
      <c r="O15" s="130">
        <v>150</v>
      </c>
      <c r="P15" s="134">
        <v>150.00280000000001</v>
      </c>
      <c r="Q15" s="2">
        <f t="shared" si="2"/>
        <v>2.8000000000076852E-3</v>
      </c>
      <c r="S15">
        <f t="shared" si="3"/>
        <v>150</v>
      </c>
      <c r="T15">
        <f t="shared" si="4"/>
        <v>0</v>
      </c>
      <c r="U15">
        <f>AD15</f>
        <v>10.080000000027667</v>
      </c>
      <c r="V15">
        <f t="shared" si="5"/>
        <v>540010.08000000007</v>
      </c>
      <c r="W15">
        <f t="shared" si="6"/>
        <v>2.8000000000076852E-3</v>
      </c>
      <c r="X15" s="179">
        <f t="shared" si="14"/>
        <v>150</v>
      </c>
      <c r="Y15" s="166">
        <f>W15*60</f>
        <v>0.16800000000046111</v>
      </c>
      <c r="Z15">
        <f t="shared" si="15"/>
        <v>0</v>
      </c>
      <c r="AA15" s="176">
        <f t="shared" si="9"/>
        <v>59.831999999999539</v>
      </c>
      <c r="AB15" s="176">
        <f t="shared" si="10"/>
        <v>60</v>
      </c>
      <c r="AC15" s="176">
        <f t="shared" si="11"/>
        <v>0.16800000000046111</v>
      </c>
      <c r="AD15" s="179">
        <f t="shared" si="12"/>
        <v>10.080000000027667</v>
      </c>
    </row>
    <row r="16" spans="3:30" x14ac:dyDescent="0.3">
      <c r="C16" s="130">
        <v>5</v>
      </c>
      <c r="E16" s="131">
        <v>5.0003010000000003</v>
      </c>
      <c r="F16" s="1">
        <f t="shared" si="0"/>
        <v>3.0100000000032878E-4</v>
      </c>
      <c r="H16" s="130"/>
      <c r="I16">
        <f t="shared" si="13"/>
        <v>0</v>
      </c>
      <c r="J16" s="131"/>
      <c r="K16" s="1">
        <f t="shared" si="1"/>
        <v>0</v>
      </c>
      <c r="L16" s="130" t="s">
        <v>96</v>
      </c>
      <c r="M16" s="131">
        <v>0.12474</v>
      </c>
      <c r="O16" s="130">
        <v>165</v>
      </c>
      <c r="P16" s="134">
        <v>165.00620000000001</v>
      </c>
      <c r="Q16" s="2">
        <f t="shared" si="2"/>
        <v>6.2000000000068667E-3</v>
      </c>
      <c r="S16">
        <f t="shared" si="3"/>
        <v>165</v>
      </c>
      <c r="T16">
        <f t="shared" si="4"/>
        <v>0</v>
      </c>
      <c r="U16">
        <f>AD16</f>
        <v>22.32000000002472</v>
      </c>
      <c r="V16">
        <f t="shared" si="5"/>
        <v>594022.32000000007</v>
      </c>
      <c r="W16">
        <f t="shared" si="6"/>
        <v>6.2000000000068667E-3</v>
      </c>
      <c r="X16" s="179">
        <f t="shared" si="14"/>
        <v>165</v>
      </c>
      <c r="Y16" s="166">
        <f>W16*60</f>
        <v>0.372000000000412</v>
      </c>
      <c r="Z16">
        <f t="shared" si="15"/>
        <v>0</v>
      </c>
      <c r="AA16" s="176">
        <f t="shared" si="9"/>
        <v>59.627999999999588</v>
      </c>
      <c r="AB16" s="176">
        <f t="shared" si="10"/>
        <v>60</v>
      </c>
      <c r="AC16" s="176">
        <f t="shared" si="11"/>
        <v>0.372000000000412</v>
      </c>
      <c r="AD16" s="179">
        <f t="shared" si="12"/>
        <v>22.32000000002472</v>
      </c>
    </row>
    <row r="17" spans="3:30" x14ac:dyDescent="0.3">
      <c r="C17" s="130">
        <v>5.5</v>
      </c>
      <c r="E17" s="131">
        <v>5.5003260000000003</v>
      </c>
      <c r="F17" s="1">
        <f t="shared" si="0"/>
        <v>3.2600000000027052E-4</v>
      </c>
      <c r="H17" s="130"/>
      <c r="I17">
        <f t="shared" si="13"/>
        <v>0</v>
      </c>
      <c r="J17" s="131"/>
      <c r="K17" s="1">
        <f t="shared" si="1"/>
        <v>0</v>
      </c>
      <c r="L17" s="130" t="s">
        <v>97</v>
      </c>
      <c r="M17" s="131">
        <v>0.18723999999999999</v>
      </c>
      <c r="O17" s="132">
        <v>180</v>
      </c>
      <c r="P17" s="135">
        <v>179.99510000000001</v>
      </c>
      <c r="Q17" s="2">
        <f t="shared" si="2"/>
        <v>-4.8999999999921329E-3</v>
      </c>
      <c r="S17">
        <f t="shared" si="3"/>
        <v>179</v>
      </c>
      <c r="T17">
        <f t="shared" si="4"/>
        <v>59</v>
      </c>
      <c r="U17">
        <f>AD17</f>
        <v>42.360000000028322</v>
      </c>
      <c r="V17">
        <f t="shared" si="5"/>
        <v>647982.36</v>
      </c>
      <c r="W17">
        <f t="shared" si="6"/>
        <v>0.99510000000000787</v>
      </c>
      <c r="X17" s="179">
        <f t="shared" si="14"/>
        <v>179</v>
      </c>
      <c r="Y17" s="166">
        <f>W17*60</f>
        <v>59.706000000000472</v>
      </c>
      <c r="Z17">
        <f t="shared" si="15"/>
        <v>59</v>
      </c>
      <c r="AA17" s="176">
        <f t="shared" si="9"/>
        <v>0.29399999999952797</v>
      </c>
      <c r="AB17" s="176">
        <f t="shared" si="10"/>
        <v>1</v>
      </c>
      <c r="AC17" s="176">
        <f t="shared" si="11"/>
        <v>0.70600000000047203</v>
      </c>
      <c r="AD17" s="179">
        <f t="shared" si="12"/>
        <v>42.360000000028322</v>
      </c>
    </row>
    <row r="18" spans="3:30" x14ac:dyDescent="0.3">
      <c r="C18" s="130">
        <v>6</v>
      </c>
      <c r="E18" s="131">
        <v>6.0003489999999999</v>
      </c>
      <c r="F18" s="1">
        <f t="shared" si="0"/>
        <v>3.489999999999327E-4</v>
      </c>
      <c r="H18" s="132"/>
      <c r="I18" s="127">
        <f t="shared" si="13"/>
        <v>0</v>
      </c>
      <c r="J18" s="133"/>
      <c r="K18" s="1">
        <f t="shared" si="1"/>
        <v>0</v>
      </c>
      <c r="L18" s="130" t="s">
        <v>98</v>
      </c>
      <c r="M18" s="131">
        <v>0.24973999999999999</v>
      </c>
    </row>
    <row r="19" spans="3:30" x14ac:dyDescent="0.3">
      <c r="C19" s="130">
        <v>6.5</v>
      </c>
      <c r="E19" s="131">
        <v>6.5003489999999999</v>
      </c>
      <c r="F19" s="1">
        <f t="shared" si="0"/>
        <v>3.489999999999327E-4</v>
      </c>
      <c r="L19" s="130" t="s">
        <v>99</v>
      </c>
      <c r="M19" s="131">
        <v>6.2269999999999999E-2</v>
      </c>
    </row>
    <row r="20" spans="3:30" x14ac:dyDescent="0.3">
      <c r="C20" s="130">
        <v>7</v>
      </c>
      <c r="E20" s="131">
        <v>7.0003609999999998</v>
      </c>
      <c r="F20" s="1">
        <f t="shared" si="0"/>
        <v>3.6099999999983368E-4</v>
      </c>
      <c r="L20" s="130" t="s">
        <v>100</v>
      </c>
      <c r="M20" s="131">
        <v>0.18723999999999999</v>
      </c>
    </row>
    <row r="21" spans="3:30" x14ac:dyDescent="0.3">
      <c r="C21" s="130">
        <v>7.5</v>
      </c>
      <c r="E21" s="131">
        <v>7.5003770000000003</v>
      </c>
      <c r="F21" s="1">
        <f t="shared" si="0"/>
        <v>3.7700000000029377E-4</v>
      </c>
      <c r="L21" s="130" t="s">
        <v>101</v>
      </c>
      <c r="M21" s="131">
        <v>0.24973999999999999</v>
      </c>
    </row>
    <row r="22" spans="3:30" x14ac:dyDescent="0.3">
      <c r="C22" s="130">
        <v>8</v>
      </c>
      <c r="E22" s="131">
        <v>8.0003860000000007</v>
      </c>
      <c r="F22" s="1">
        <f t="shared" si="0"/>
        <v>3.8600000000066359E-4</v>
      </c>
      <c r="J22" s="1">
        <f>J12-J10</f>
        <v>-1.70014</v>
      </c>
      <c r="L22" s="130" t="s">
        <v>102</v>
      </c>
      <c r="M22" s="131">
        <v>0.37475000000000003</v>
      </c>
    </row>
    <row r="23" spans="3:30" x14ac:dyDescent="0.3">
      <c r="C23" s="130">
        <v>8.5</v>
      </c>
      <c r="E23" s="131">
        <v>8.5004150000000003</v>
      </c>
      <c r="F23" s="1">
        <f t="shared" si="0"/>
        <v>4.1500000000027626E-4</v>
      </c>
      <c r="J23">
        <v>0.99998399999999998</v>
      </c>
      <c r="L23" s="130" t="s">
        <v>103</v>
      </c>
      <c r="M23" s="131">
        <v>6.2260000000000003E-2</v>
      </c>
    </row>
    <row r="24" spans="3:30" x14ac:dyDescent="0.3">
      <c r="C24" s="130">
        <v>9</v>
      </c>
      <c r="E24" s="131">
        <v>9.0004390000000001</v>
      </c>
      <c r="F24" s="1">
        <f t="shared" si="0"/>
        <v>4.3900000000007822E-4</v>
      </c>
      <c r="J24" s="1">
        <f>J23-J22</f>
        <v>2.7001239999999997</v>
      </c>
      <c r="L24" s="130" t="s">
        <v>104</v>
      </c>
      <c r="M24" s="131">
        <v>0.12474</v>
      </c>
    </row>
    <row r="25" spans="3:30" x14ac:dyDescent="0.3">
      <c r="C25" s="130">
        <v>9.5</v>
      </c>
      <c r="E25" s="131">
        <v>9.5004810000000006</v>
      </c>
      <c r="F25" s="1">
        <f t="shared" si="0"/>
        <v>4.8100000000061982E-4</v>
      </c>
      <c r="L25" s="130" t="s">
        <v>105</v>
      </c>
      <c r="M25" s="131">
        <v>0.18723999999999999</v>
      </c>
    </row>
    <row r="26" spans="3:30" x14ac:dyDescent="0.3">
      <c r="C26" s="130">
        <v>10</v>
      </c>
      <c r="E26" s="131">
        <v>10.000477</v>
      </c>
      <c r="F26" s="1">
        <f t="shared" si="0"/>
        <v>4.7700000000006071E-4</v>
      </c>
      <c r="L26" s="130" t="s">
        <v>106</v>
      </c>
      <c r="M26" s="131">
        <v>6.232E-2</v>
      </c>
    </row>
    <row r="27" spans="3:30" x14ac:dyDescent="0.3">
      <c r="C27" s="130">
        <v>10.5</v>
      </c>
      <c r="E27" s="131">
        <v>10.500534999999999</v>
      </c>
      <c r="F27" s="1">
        <f t="shared" si="0"/>
        <v>5.3499999999928605E-4</v>
      </c>
      <c r="L27" s="132" t="s">
        <v>107</v>
      </c>
      <c r="M27" s="133">
        <v>0.12483</v>
      </c>
    </row>
    <row r="28" spans="3:30" x14ac:dyDescent="0.3">
      <c r="C28" s="130">
        <v>11</v>
      </c>
      <c r="E28" s="131">
        <v>11.000537</v>
      </c>
      <c r="F28" s="1">
        <f t="shared" si="0"/>
        <v>5.369999999995656E-4</v>
      </c>
    </row>
    <row r="29" spans="3:30" x14ac:dyDescent="0.3">
      <c r="C29" s="130">
        <v>11.5</v>
      </c>
      <c r="E29" s="131">
        <v>11.500572999999999</v>
      </c>
      <c r="F29" s="1">
        <f t="shared" si="0"/>
        <v>5.7299999999926854E-4</v>
      </c>
    </row>
    <row r="30" spans="3:30" x14ac:dyDescent="0.3">
      <c r="C30" s="132">
        <v>12</v>
      </c>
      <c r="D30" s="127"/>
      <c r="E30" s="133">
        <v>12.000619</v>
      </c>
      <c r="F30" s="1">
        <f t="shared" si="0"/>
        <v>6.1900000000036925E-4</v>
      </c>
    </row>
    <row r="32" spans="3:30" ht="15" thickBot="1" x14ac:dyDescent="0.35">
      <c r="H32" t="s">
        <v>108</v>
      </c>
    </row>
    <row r="33" spans="8:14" x14ac:dyDescent="0.3">
      <c r="H33" s="3" t="s">
        <v>109</v>
      </c>
      <c r="I33" s="4" t="s">
        <v>110</v>
      </c>
      <c r="J33" s="4" t="s">
        <v>111</v>
      </c>
      <c r="K33" s="4" t="s">
        <v>112</v>
      </c>
      <c r="L33" s="4" t="s">
        <v>113</v>
      </c>
      <c r="M33" s="4" t="s">
        <v>114</v>
      </c>
      <c r="N33" s="5" t="s">
        <v>115</v>
      </c>
    </row>
    <row r="34" spans="8:14" ht="15" thickBot="1" x14ac:dyDescent="0.35">
      <c r="H34" s="9">
        <f>'OC1000 Calibration'!E6</f>
        <v>0.1</v>
      </c>
      <c r="I34" s="10">
        <f ca="1">(H34-K34)/(L34-K34)*(N34-M34)+M34</f>
        <v>0.100026</v>
      </c>
      <c r="J34" s="6">
        <f>COUNTIF($H$6:$H$18,"&lt;"&amp;H34)</f>
        <v>1</v>
      </c>
      <c r="K34" s="6">
        <f ca="1">INDIRECT(ADDRESS(J34+5,8))</f>
        <v>0</v>
      </c>
      <c r="L34" s="6">
        <f ca="1">INDIRECT(ADDRESS(J34+6,8))</f>
        <v>0.5</v>
      </c>
      <c r="M34" s="6">
        <f ca="1">INDIRECT(ADDRESS(J34+5,10))</f>
        <v>0</v>
      </c>
      <c r="N34" s="7">
        <f ca="1">INDIRECT(ADDRESS(J34+6,10))</f>
        <v>0.50012999999999996</v>
      </c>
    </row>
    <row r="35" spans="8:14" ht="15" thickBot="1" x14ac:dyDescent="0.35">
      <c r="H35" s="9">
        <f>'OC1000 Calibration'!E7</f>
        <v>0.5</v>
      </c>
      <c r="I35" s="10">
        <f t="shared" ref="I35:I48" ca="1" si="16">(H35-K35)/(L35-K35)*(N35-M35)+M35</f>
        <v>0.50012999999999996</v>
      </c>
      <c r="J35" s="6">
        <f t="shared" ref="J35:J48" si="17">COUNTIF($H$6:$H$18,"&lt;"&amp;H35)</f>
        <v>1</v>
      </c>
      <c r="K35" s="6">
        <f t="shared" ref="K35:K47" ca="1" si="18">INDIRECT(ADDRESS(J35+5,8))</f>
        <v>0</v>
      </c>
      <c r="L35" s="6">
        <f t="shared" ref="L35:L47" ca="1" si="19">INDIRECT(ADDRESS(J35+6,8))</f>
        <v>0.5</v>
      </c>
      <c r="M35" s="6">
        <f t="shared" ref="M35:M47" ca="1" si="20">INDIRECT(ADDRESS(J35+5,10))</f>
        <v>0</v>
      </c>
      <c r="N35" s="7">
        <f t="shared" ref="N35:N47" ca="1" si="21">INDIRECT(ADDRESS(J35+6,10))</f>
        <v>0.50012999999999996</v>
      </c>
    </row>
    <row r="36" spans="8:14" ht="15" thickBot="1" x14ac:dyDescent="0.35">
      <c r="H36" s="9">
        <f>'OC1000 Calibration'!E8</f>
        <v>1</v>
      </c>
      <c r="I36" s="10">
        <f t="shared" ca="1" si="16"/>
        <v>1.0000199999999999</v>
      </c>
      <c r="J36" s="6">
        <f t="shared" si="17"/>
        <v>2</v>
      </c>
      <c r="K36" s="6">
        <f t="shared" ca="1" si="18"/>
        <v>0.5</v>
      </c>
      <c r="L36" s="6">
        <f t="shared" ca="1" si="19"/>
        <v>1</v>
      </c>
      <c r="M36" s="6">
        <f t="shared" ca="1" si="20"/>
        <v>0.50012999999999996</v>
      </c>
      <c r="N36" s="7">
        <f t="shared" ca="1" si="21"/>
        <v>1.0000199999999999</v>
      </c>
    </row>
    <row r="37" spans="8:14" ht="15" thickBot="1" x14ac:dyDescent="0.35">
      <c r="H37" s="9">
        <f>'OC1000 Calibration'!E9</f>
        <v>1.5</v>
      </c>
      <c r="I37" s="10">
        <f t="shared" ca="1" si="16"/>
        <v>1.5002</v>
      </c>
      <c r="J37" s="6">
        <f t="shared" si="17"/>
        <v>3</v>
      </c>
      <c r="K37" s="6">
        <f t="shared" ca="1" si="18"/>
        <v>1</v>
      </c>
      <c r="L37" s="6">
        <f t="shared" ca="1" si="19"/>
        <v>1.5</v>
      </c>
      <c r="M37" s="6">
        <f t="shared" ca="1" si="20"/>
        <v>1.0000199999999999</v>
      </c>
      <c r="N37" s="7">
        <f t="shared" ca="1" si="21"/>
        <v>1.5002</v>
      </c>
    </row>
    <row r="38" spans="8:14" ht="15" thickBot="1" x14ac:dyDescent="0.35">
      <c r="H38" s="9">
        <f>'OC1000 Calibration'!E10</f>
        <v>1.7</v>
      </c>
      <c r="I38" s="10">
        <f t="shared" ca="1" si="16"/>
        <v>1.70014</v>
      </c>
      <c r="J38" s="6">
        <f t="shared" si="17"/>
        <v>4</v>
      </c>
      <c r="K38" s="6">
        <f t="shared" ca="1" si="18"/>
        <v>1.5</v>
      </c>
      <c r="L38" s="6">
        <f t="shared" ca="1" si="19"/>
        <v>1.7</v>
      </c>
      <c r="M38" s="6">
        <f t="shared" ca="1" si="20"/>
        <v>1.5002</v>
      </c>
      <c r="N38" s="7">
        <f t="shared" ca="1" si="21"/>
        <v>1.70014</v>
      </c>
    </row>
    <row r="39" spans="8:14" ht="15" thickBot="1" x14ac:dyDescent="0.35">
      <c r="H39" s="9">
        <f>'OC1000 Calibration'!E11</f>
        <v>0</v>
      </c>
      <c r="I39" s="10" t="e">
        <f t="shared" ca="1" si="16"/>
        <v>#VALUE!</v>
      </c>
      <c r="J39" s="6">
        <f t="shared" si="17"/>
        <v>0</v>
      </c>
      <c r="K39" s="6" t="str">
        <f t="shared" ca="1" si="18"/>
        <v>Nominal</v>
      </c>
      <c r="L39" s="6">
        <f t="shared" ca="1" si="19"/>
        <v>0</v>
      </c>
      <c r="M39" s="6" t="str">
        <f t="shared" ca="1" si="20"/>
        <v>Actual</v>
      </c>
      <c r="N39" s="7">
        <f t="shared" ca="1" si="21"/>
        <v>0</v>
      </c>
    </row>
    <row r="40" spans="8:14" ht="15" thickBot="1" x14ac:dyDescent="0.35">
      <c r="H40" s="9">
        <f>'OC1000 Calibration'!E12</f>
        <v>0</v>
      </c>
      <c r="I40" s="10" t="e">
        <f t="shared" ca="1" si="16"/>
        <v>#VALUE!</v>
      </c>
      <c r="J40" s="6">
        <f t="shared" si="17"/>
        <v>0</v>
      </c>
      <c r="K40" s="6" t="str">
        <f t="shared" ca="1" si="18"/>
        <v>Nominal</v>
      </c>
      <c r="L40" s="6">
        <f t="shared" ca="1" si="19"/>
        <v>0</v>
      </c>
      <c r="M40" s="6" t="str">
        <f t="shared" ca="1" si="20"/>
        <v>Actual</v>
      </c>
      <c r="N40" s="7">
        <f t="shared" ca="1" si="21"/>
        <v>0</v>
      </c>
    </row>
    <row r="41" spans="8:14" ht="15" thickBot="1" x14ac:dyDescent="0.35">
      <c r="H41" s="9">
        <f>'OC1000 Calibration'!E13</f>
        <v>0</v>
      </c>
      <c r="I41" s="10" t="e">
        <f t="shared" ca="1" si="16"/>
        <v>#VALUE!</v>
      </c>
      <c r="J41" s="6">
        <f t="shared" si="17"/>
        <v>0</v>
      </c>
      <c r="K41" s="6" t="str">
        <f t="shared" ca="1" si="18"/>
        <v>Nominal</v>
      </c>
      <c r="L41" s="6">
        <f t="shared" ca="1" si="19"/>
        <v>0</v>
      </c>
      <c r="M41" s="6" t="str">
        <f t="shared" ca="1" si="20"/>
        <v>Actual</v>
      </c>
      <c r="N41" s="7">
        <f t="shared" ca="1" si="21"/>
        <v>0</v>
      </c>
    </row>
    <row r="42" spans="8:14" ht="15" thickBot="1" x14ac:dyDescent="0.35">
      <c r="H42" s="9">
        <f>'OC1000 Calibration'!E14</f>
        <v>0</v>
      </c>
      <c r="I42" s="10" t="e">
        <f t="shared" ca="1" si="16"/>
        <v>#VALUE!</v>
      </c>
      <c r="J42" s="6">
        <f t="shared" si="17"/>
        <v>0</v>
      </c>
      <c r="K42" s="6" t="str">
        <f t="shared" ca="1" si="18"/>
        <v>Nominal</v>
      </c>
      <c r="L42" s="6">
        <f t="shared" ca="1" si="19"/>
        <v>0</v>
      </c>
      <c r="M42" s="6" t="str">
        <f t="shared" ca="1" si="20"/>
        <v>Actual</v>
      </c>
      <c r="N42" s="7">
        <f t="shared" ca="1" si="21"/>
        <v>0</v>
      </c>
    </row>
    <row r="43" spans="8:14" ht="15" thickBot="1" x14ac:dyDescent="0.35">
      <c r="H43" s="9">
        <f>'OC1000 Calibration'!E15</f>
        <v>0</v>
      </c>
      <c r="I43" s="10" t="e">
        <f t="shared" ca="1" si="16"/>
        <v>#VALUE!</v>
      </c>
      <c r="J43" s="6">
        <f t="shared" si="17"/>
        <v>0</v>
      </c>
      <c r="K43" s="6" t="str">
        <f t="shared" ca="1" si="18"/>
        <v>Nominal</v>
      </c>
      <c r="L43" s="6">
        <f t="shared" ca="1" si="19"/>
        <v>0</v>
      </c>
      <c r="M43" s="6" t="str">
        <f t="shared" ca="1" si="20"/>
        <v>Actual</v>
      </c>
      <c r="N43" s="7">
        <f t="shared" ca="1" si="21"/>
        <v>0</v>
      </c>
    </row>
    <row r="44" spans="8:14" ht="15" thickBot="1" x14ac:dyDescent="0.35">
      <c r="H44" s="9">
        <f>'OC1000 Calibration'!E16</f>
        <v>0</v>
      </c>
      <c r="I44" s="10" t="e">
        <f t="shared" ca="1" si="16"/>
        <v>#VALUE!</v>
      </c>
      <c r="J44" s="6">
        <f t="shared" si="17"/>
        <v>0</v>
      </c>
      <c r="K44" s="6" t="str">
        <f t="shared" ca="1" si="18"/>
        <v>Nominal</v>
      </c>
      <c r="L44" s="6">
        <f t="shared" ca="1" si="19"/>
        <v>0</v>
      </c>
      <c r="M44" s="6" t="str">
        <f t="shared" ca="1" si="20"/>
        <v>Actual</v>
      </c>
      <c r="N44" s="7">
        <f t="shared" ca="1" si="21"/>
        <v>0</v>
      </c>
    </row>
    <row r="45" spans="8:14" ht="15" thickBot="1" x14ac:dyDescent="0.35">
      <c r="H45" s="9">
        <f>'OC1000 Calibration'!E17</f>
        <v>0</v>
      </c>
      <c r="I45" s="10" t="e">
        <f t="shared" ca="1" si="16"/>
        <v>#VALUE!</v>
      </c>
      <c r="J45" s="6">
        <f t="shared" si="17"/>
        <v>0</v>
      </c>
      <c r="K45" s="6" t="str">
        <f t="shared" ca="1" si="18"/>
        <v>Nominal</v>
      </c>
      <c r="L45" s="6">
        <f t="shared" ca="1" si="19"/>
        <v>0</v>
      </c>
      <c r="M45" s="6" t="str">
        <f t="shared" ca="1" si="20"/>
        <v>Actual</v>
      </c>
      <c r="N45" s="7">
        <f t="shared" ca="1" si="21"/>
        <v>0</v>
      </c>
    </row>
    <row r="46" spans="8:14" ht="15" thickBot="1" x14ac:dyDescent="0.35">
      <c r="H46" s="9">
        <f>'OC1000 Calibration'!E18</f>
        <v>0</v>
      </c>
      <c r="I46" s="10" t="e">
        <f t="shared" ca="1" si="16"/>
        <v>#VALUE!</v>
      </c>
      <c r="J46" s="6">
        <f t="shared" si="17"/>
        <v>0</v>
      </c>
      <c r="K46" s="6" t="str">
        <f t="shared" ca="1" si="18"/>
        <v>Nominal</v>
      </c>
      <c r="L46" s="6">
        <f t="shared" ca="1" si="19"/>
        <v>0</v>
      </c>
      <c r="M46" s="6" t="str">
        <f t="shared" ca="1" si="20"/>
        <v>Actual</v>
      </c>
      <c r="N46" s="7">
        <f t="shared" ca="1" si="21"/>
        <v>0</v>
      </c>
    </row>
    <row r="47" spans="8:14" ht="15" thickBot="1" x14ac:dyDescent="0.35">
      <c r="H47" s="9">
        <f>'OC1000 Calibration'!E19</f>
        <v>0</v>
      </c>
      <c r="I47" s="10" t="e">
        <f t="shared" ca="1" si="16"/>
        <v>#VALUE!</v>
      </c>
      <c r="J47" s="6">
        <f t="shared" si="17"/>
        <v>0</v>
      </c>
      <c r="K47" s="6" t="str">
        <f t="shared" ca="1" si="18"/>
        <v>Nominal</v>
      </c>
      <c r="L47" s="6">
        <f t="shared" ca="1" si="19"/>
        <v>0</v>
      </c>
      <c r="M47" s="6" t="str">
        <f t="shared" ca="1" si="20"/>
        <v>Actual</v>
      </c>
      <c r="N47" s="7">
        <f t="shared" ca="1" si="21"/>
        <v>0</v>
      </c>
    </row>
    <row r="48" spans="8:14" ht="15" thickBot="1" x14ac:dyDescent="0.35">
      <c r="H48" s="9"/>
      <c r="I48" s="10" t="e">
        <f t="shared" ca="1" si="16"/>
        <v>#DIV/0!</v>
      </c>
      <c r="J48" s="6">
        <f t="shared" si="17"/>
        <v>0</v>
      </c>
      <c r="K48" s="6">
        <f t="shared" ref="K48" ca="1" si="22">INDIRECT(ADDRESS(J48+6,8))</f>
        <v>0</v>
      </c>
      <c r="L48" s="6">
        <f t="shared" ref="L48" ca="1" si="23">INDIRECT(ADDRESS(J48+18,8))</f>
        <v>0</v>
      </c>
      <c r="M48" s="6">
        <f t="shared" ref="M48" ca="1" si="24">INDIRECT(ADDRESS(J48+6,10))</f>
        <v>0</v>
      </c>
      <c r="N48" s="7">
        <f t="shared" ref="N48" ca="1" si="25">INDIRECT(ADDRESS(J48+18,10))</f>
        <v>0</v>
      </c>
    </row>
  </sheetData>
  <sheetProtection algorithmName="SHA-512" hashValue="69VT1eNQ6vdHmRK8f+7pagggQXN0qDeepiaFcyT9xxQODyDOhK6T/yYzF+1BCi/puLMB4TedlJs9Ho5QV8UfgQ==" saltValue="Ho031WL/FZEZWfKAymTefQ==" spinCount="100000" sheet="1" selectLockedCells="1" selectUnlockedCells="1"/>
  <mergeCells count="3">
    <mergeCell ref="W4:W5"/>
    <mergeCell ref="AC4:AC5"/>
    <mergeCell ref="Z5:AB5"/>
  </mergeCells>
  <pageMargins left="0.7" right="0.7" top="0.75" bottom="0.75" header="0.3" footer="0.3"/>
  <pageSetup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B16" sqref="B16"/>
    </sheetView>
  </sheetViews>
  <sheetFormatPr defaultRowHeight="14.4" x14ac:dyDescent="0.3"/>
  <cols>
    <col min="1" max="1" width="17.5546875" style="28" customWidth="1"/>
    <col min="2" max="2" width="128.109375" customWidth="1"/>
  </cols>
  <sheetData>
    <row r="1" spans="1:2" x14ac:dyDescent="0.3">
      <c r="A1" s="28" t="s">
        <v>139</v>
      </c>
      <c r="B1" t="s">
        <v>165</v>
      </c>
    </row>
    <row r="2" spans="1:2" x14ac:dyDescent="0.3">
      <c r="A2" s="28">
        <v>42074</v>
      </c>
      <c r="B2" t="s">
        <v>166</v>
      </c>
    </row>
    <row r="3" spans="1:2" x14ac:dyDescent="0.3">
      <c r="A3" s="28">
        <v>42172</v>
      </c>
      <c r="B3" t="s">
        <v>167</v>
      </c>
    </row>
    <row r="4" spans="1:2" x14ac:dyDescent="0.3">
      <c r="A4" s="28">
        <v>42013</v>
      </c>
      <c r="B4" t="s">
        <v>168</v>
      </c>
    </row>
    <row r="5" spans="1:2" x14ac:dyDescent="0.3">
      <c r="A5" s="28">
        <v>42388</v>
      </c>
      <c r="B5" t="s">
        <v>169</v>
      </c>
    </row>
    <row r="6" spans="1:2" x14ac:dyDescent="0.3">
      <c r="A6" s="28">
        <v>42773</v>
      </c>
      <c r="B6" t="s">
        <v>170</v>
      </c>
    </row>
    <row r="7" spans="1:2" x14ac:dyDescent="0.3">
      <c r="A7" s="28">
        <v>43309</v>
      </c>
      <c r="B7" t="s">
        <v>171</v>
      </c>
    </row>
    <row r="8" spans="1:2" x14ac:dyDescent="0.3">
      <c r="A8" s="28">
        <v>44396</v>
      </c>
      <c r="B8" t="s">
        <v>172</v>
      </c>
    </row>
    <row r="9" spans="1:2" x14ac:dyDescent="0.3">
      <c r="A9" s="28">
        <v>45446</v>
      </c>
      <c r="B9" t="s">
        <v>173</v>
      </c>
    </row>
    <row r="10" spans="1:2" x14ac:dyDescent="0.3">
      <c r="A10" s="28">
        <v>45476</v>
      </c>
      <c r="B10" t="s">
        <v>195</v>
      </c>
    </row>
    <row r="11" spans="1:2" x14ac:dyDescent="0.3">
      <c r="A11" s="28">
        <v>45967</v>
      </c>
      <c r="B11" t="s">
        <v>200</v>
      </c>
    </row>
  </sheetData>
  <sheetProtection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V30"/>
  <sheetViews>
    <sheetView workbookViewId="0">
      <selection activeCell="F2" sqref="F2"/>
    </sheetView>
  </sheetViews>
  <sheetFormatPr defaultRowHeight="14.4" x14ac:dyDescent="0.3"/>
  <cols>
    <col min="5" max="5" width="10.5546875" bestFit="1" customWidth="1"/>
    <col min="6" max="6" width="12.5546875" customWidth="1"/>
    <col min="13" max="13" width="11.5546875" customWidth="1"/>
    <col min="16" max="16" width="14.88671875" customWidth="1"/>
    <col min="17" max="17" width="11.33203125" customWidth="1"/>
  </cols>
  <sheetData>
    <row r="2" spans="3:22" x14ac:dyDescent="0.3">
      <c r="F2" t="s">
        <v>116</v>
      </c>
    </row>
    <row r="3" spans="3:22" x14ac:dyDescent="0.3">
      <c r="C3" t="s">
        <v>117</v>
      </c>
      <c r="F3" t="s">
        <v>118</v>
      </c>
    </row>
    <row r="4" spans="3:22" x14ac:dyDescent="0.3">
      <c r="C4" t="s">
        <v>78</v>
      </c>
      <c r="H4" t="s">
        <v>79</v>
      </c>
      <c r="L4" t="s">
        <v>80</v>
      </c>
      <c r="M4" t="s">
        <v>81</v>
      </c>
      <c r="O4" t="s">
        <v>82</v>
      </c>
      <c r="S4" t="s">
        <v>83</v>
      </c>
    </row>
    <row r="5" spans="3:22" x14ac:dyDescent="0.3">
      <c r="C5" s="128" t="s">
        <v>11</v>
      </c>
      <c r="D5" s="136" t="s">
        <v>84</v>
      </c>
      <c r="E5" s="129" t="s">
        <v>85</v>
      </c>
      <c r="H5" s="128" t="s">
        <v>11</v>
      </c>
      <c r="I5" s="136" t="s">
        <v>84</v>
      </c>
      <c r="J5" s="129" t="s">
        <v>85</v>
      </c>
      <c r="L5" t="s">
        <v>86</v>
      </c>
      <c r="M5" s="1"/>
      <c r="O5" s="128" t="s">
        <v>11</v>
      </c>
      <c r="P5" s="129" t="s">
        <v>87</v>
      </c>
      <c r="Q5" t="s">
        <v>88</v>
      </c>
      <c r="S5" t="s">
        <v>13</v>
      </c>
      <c r="T5" t="s">
        <v>14</v>
      </c>
      <c r="U5" t="s">
        <v>15</v>
      </c>
      <c r="V5" t="s">
        <v>89</v>
      </c>
    </row>
    <row r="6" spans="3:22" x14ac:dyDescent="0.3">
      <c r="C6" s="130">
        <v>0</v>
      </c>
      <c r="E6" s="134">
        <f>(D6*0.000001)+C6</f>
        <v>0</v>
      </c>
      <c r="F6" s="1">
        <f>E6-C6</f>
        <v>0</v>
      </c>
      <c r="H6" s="130">
        <v>0</v>
      </c>
      <c r="J6" s="134">
        <f>(I6*0.000001)+H6</f>
        <v>0</v>
      </c>
      <c r="K6" s="1">
        <f>J6-H6</f>
        <v>0</v>
      </c>
      <c r="L6" t="s">
        <v>25</v>
      </c>
      <c r="M6" s="1">
        <v>0.25001000000000001</v>
      </c>
      <c r="O6" s="130">
        <v>15</v>
      </c>
      <c r="P6" s="134" t="s">
        <v>119</v>
      </c>
      <c r="Q6" s="2" t="s">
        <v>120</v>
      </c>
      <c r="S6">
        <v>14</v>
      </c>
      <c r="T6">
        <v>59</v>
      </c>
      <c r="U6">
        <v>52</v>
      </c>
      <c r="V6">
        <f>U6+(T6*60)+(S6*60*60)</f>
        <v>53992</v>
      </c>
    </row>
    <row r="7" spans="3:22" x14ac:dyDescent="0.3">
      <c r="C7" s="130">
        <v>0.5</v>
      </c>
      <c r="D7">
        <v>63</v>
      </c>
      <c r="E7" s="131">
        <f>(D7*0.000001)+C7</f>
        <v>0.50006300000000004</v>
      </c>
      <c r="F7" s="1">
        <f>'OC4000 Values'!G10</f>
        <v>0</v>
      </c>
      <c r="H7" s="130">
        <v>0.2</v>
      </c>
      <c r="I7">
        <v>1</v>
      </c>
      <c r="J7" s="131">
        <f t="shared" ref="J7:J18" si="0">(I7*0.000001)+H7</f>
        <v>0.20000100000000001</v>
      </c>
      <c r="K7" s="1">
        <f t="shared" ref="K7:K18" si="1">J7-H7</f>
        <v>1.0000000000010001E-6</v>
      </c>
      <c r="L7" t="s">
        <v>26</v>
      </c>
      <c r="M7" s="1">
        <v>0.62502999999999997</v>
      </c>
      <c r="O7" s="130">
        <v>30</v>
      </c>
      <c r="P7" s="134"/>
      <c r="Q7" s="2" t="s">
        <v>121</v>
      </c>
      <c r="V7">
        <f t="shared" ref="V7:V17" si="2">U7+(T7*60)+(S7*60*60)</f>
        <v>0</v>
      </c>
    </row>
    <row r="8" spans="3:22" x14ac:dyDescent="0.3">
      <c r="C8" s="130">
        <v>1</v>
      </c>
      <c r="D8">
        <v>134</v>
      </c>
      <c r="E8" s="131">
        <f t="shared" ref="E8:E22" si="3">(D8*0.000001)+C8</f>
        <v>1.0001340000000001</v>
      </c>
      <c r="F8" s="1">
        <f>'OC4000 Values'!G11</f>
        <v>0</v>
      </c>
      <c r="H8" s="130">
        <v>0.4</v>
      </c>
      <c r="I8">
        <v>14</v>
      </c>
      <c r="J8" s="131">
        <f t="shared" si="0"/>
        <v>0.40001400000000004</v>
      </c>
      <c r="K8" s="1">
        <f t="shared" si="1"/>
        <v>1.4000000000014001E-5</v>
      </c>
      <c r="L8" t="s">
        <v>90</v>
      </c>
      <c r="M8" s="1"/>
      <c r="O8" s="130">
        <v>45</v>
      </c>
      <c r="P8" s="134"/>
      <c r="Q8" s="2" t="s">
        <v>122</v>
      </c>
      <c r="V8">
        <f t="shared" si="2"/>
        <v>0</v>
      </c>
    </row>
    <row r="9" spans="3:22" x14ac:dyDescent="0.3">
      <c r="C9" s="130">
        <v>1.5</v>
      </c>
      <c r="D9">
        <v>171</v>
      </c>
      <c r="E9" s="131">
        <f t="shared" si="3"/>
        <v>1.5001709999999999</v>
      </c>
      <c r="F9" s="1">
        <f>'OC4000 Values'!G12</f>
        <v>0</v>
      </c>
      <c r="H9" s="130">
        <v>0.6</v>
      </c>
      <c r="I9">
        <v>19</v>
      </c>
      <c r="J9" s="131">
        <f t="shared" si="0"/>
        <v>0.60001899999999997</v>
      </c>
      <c r="K9" s="1">
        <f t="shared" si="1"/>
        <v>1.8999999999991246E-5</v>
      </c>
      <c r="L9" t="s">
        <v>91</v>
      </c>
      <c r="M9" s="1"/>
      <c r="O9" s="130">
        <v>60</v>
      </c>
      <c r="P9" s="134"/>
      <c r="Q9" s="2" t="s">
        <v>123</v>
      </c>
      <c r="V9">
        <f t="shared" si="2"/>
        <v>0</v>
      </c>
    </row>
    <row r="10" spans="3:22" x14ac:dyDescent="0.3">
      <c r="C10" s="130">
        <v>2</v>
      </c>
      <c r="D10">
        <v>213</v>
      </c>
      <c r="E10" s="131">
        <f t="shared" si="3"/>
        <v>2.000213</v>
      </c>
      <c r="F10" s="1">
        <f>'OC4000 Values'!G13</f>
        <v>0</v>
      </c>
      <c r="H10" s="130">
        <v>0.8</v>
      </c>
      <c r="I10">
        <v>36</v>
      </c>
      <c r="J10" s="131">
        <f t="shared" si="0"/>
        <v>0.80003600000000008</v>
      </c>
      <c r="K10" s="1">
        <f t="shared" si="1"/>
        <v>3.6000000000036003E-5</v>
      </c>
      <c r="L10" t="s">
        <v>27</v>
      </c>
      <c r="M10" s="1">
        <v>6.2530000000000002E-2</v>
      </c>
      <c r="O10" s="130">
        <v>75</v>
      </c>
      <c r="P10" s="134"/>
      <c r="Q10" s="2" t="s">
        <v>124</v>
      </c>
      <c r="V10">
        <f t="shared" si="2"/>
        <v>0</v>
      </c>
    </row>
    <row r="11" spans="3:22" x14ac:dyDescent="0.3">
      <c r="C11" s="130">
        <v>2.5</v>
      </c>
      <c r="D11">
        <v>251</v>
      </c>
      <c r="E11" s="131">
        <f t="shared" si="3"/>
        <v>2.500251</v>
      </c>
      <c r="F11" s="1"/>
      <c r="H11" s="130">
        <v>1</v>
      </c>
      <c r="I11">
        <v>31</v>
      </c>
      <c r="J11" s="131">
        <f t="shared" si="0"/>
        <v>1.0000309999999999</v>
      </c>
      <c r="K11" s="1">
        <f>J11-H11</f>
        <v>3.0999999999892225E-5</v>
      </c>
      <c r="L11" t="s">
        <v>92</v>
      </c>
      <c r="M11" s="1"/>
      <c r="O11" s="130">
        <v>90</v>
      </c>
      <c r="P11" s="134" t="s">
        <v>125</v>
      </c>
      <c r="Q11" s="2" t="s">
        <v>126</v>
      </c>
      <c r="S11">
        <v>90</v>
      </c>
      <c r="T11">
        <v>0</v>
      </c>
      <c r="U11">
        <v>4</v>
      </c>
      <c r="V11">
        <f t="shared" si="2"/>
        <v>324004</v>
      </c>
    </row>
    <row r="12" spans="3:22" x14ac:dyDescent="0.3">
      <c r="C12" s="130">
        <v>3</v>
      </c>
      <c r="D12">
        <v>293</v>
      </c>
      <c r="E12" s="131">
        <f t="shared" si="3"/>
        <v>3.0002930000000001</v>
      </c>
      <c r="F12" s="1">
        <f>'OC4000 Values'!G14</f>
        <v>0</v>
      </c>
      <c r="H12" s="130">
        <v>1.1000000000000001</v>
      </c>
      <c r="I12">
        <v>40</v>
      </c>
      <c r="J12" s="131">
        <f t="shared" si="0"/>
        <v>1.1000400000000001</v>
      </c>
      <c r="K12" s="1">
        <f t="shared" si="1"/>
        <v>4.0000000000040004E-5</v>
      </c>
      <c r="L12" t="s">
        <v>28</v>
      </c>
      <c r="M12" s="1">
        <v>0.25002999999999997</v>
      </c>
      <c r="O12" s="130">
        <v>105</v>
      </c>
      <c r="P12" s="134"/>
      <c r="Q12" s="2" t="s">
        <v>127</v>
      </c>
      <c r="V12">
        <f t="shared" si="2"/>
        <v>0</v>
      </c>
    </row>
    <row r="13" spans="3:22" x14ac:dyDescent="0.3">
      <c r="C13" s="130">
        <v>3.5</v>
      </c>
      <c r="D13">
        <v>319</v>
      </c>
      <c r="E13" s="131">
        <f t="shared" si="3"/>
        <v>3.5003190000000002</v>
      </c>
      <c r="F13" s="1"/>
      <c r="H13" s="130">
        <v>1.2</v>
      </c>
      <c r="I13">
        <v>39</v>
      </c>
      <c r="J13" s="131">
        <f t="shared" si="0"/>
        <v>1.2000389999999999</v>
      </c>
      <c r="K13" s="1">
        <f t="shared" si="1"/>
        <v>3.8999999999900226E-5</v>
      </c>
      <c r="L13" t="s">
        <v>93</v>
      </c>
      <c r="M13" s="1"/>
      <c r="O13" s="130">
        <v>120</v>
      </c>
      <c r="P13" s="134"/>
      <c r="Q13" s="2" t="s">
        <v>128</v>
      </c>
      <c r="V13">
        <f t="shared" si="2"/>
        <v>0</v>
      </c>
    </row>
    <row r="14" spans="3:22" x14ac:dyDescent="0.3">
      <c r="C14" s="130">
        <v>4</v>
      </c>
      <c r="D14">
        <v>339</v>
      </c>
      <c r="E14" s="131">
        <f t="shared" si="3"/>
        <v>4.0003390000000003</v>
      </c>
      <c r="F14" s="1">
        <f>'OC4000 Values'!G15</f>
        <v>0</v>
      </c>
      <c r="H14" s="130">
        <v>1.3</v>
      </c>
      <c r="I14">
        <v>30</v>
      </c>
      <c r="J14" s="131">
        <f t="shared" si="0"/>
        <v>1.30003</v>
      </c>
      <c r="K14" s="1">
        <f t="shared" si="1"/>
        <v>2.9999999999974492E-5</v>
      </c>
      <c r="L14" t="s">
        <v>94</v>
      </c>
      <c r="M14" s="1"/>
      <c r="O14" s="130">
        <v>135</v>
      </c>
      <c r="P14" s="134" t="s">
        <v>129</v>
      </c>
      <c r="Q14" s="2" t="s">
        <v>130</v>
      </c>
      <c r="S14">
        <v>135</v>
      </c>
      <c r="T14">
        <v>0</v>
      </c>
      <c r="U14">
        <v>25</v>
      </c>
      <c r="V14">
        <f t="shared" si="2"/>
        <v>486025</v>
      </c>
    </row>
    <row r="15" spans="3:22" x14ac:dyDescent="0.3">
      <c r="C15" s="130">
        <v>4.5</v>
      </c>
      <c r="D15">
        <v>409</v>
      </c>
      <c r="E15" s="131">
        <f t="shared" si="3"/>
        <v>4.5004090000000003</v>
      </c>
      <c r="F15" s="1"/>
      <c r="H15" s="130">
        <v>1.4</v>
      </c>
      <c r="I15">
        <v>39</v>
      </c>
      <c r="J15" s="131">
        <f t="shared" si="0"/>
        <v>1.4000389999999998</v>
      </c>
      <c r="K15" s="1">
        <f t="shared" si="1"/>
        <v>3.8999999999900226E-5</v>
      </c>
      <c r="L15" t="s">
        <v>95</v>
      </c>
      <c r="M15" s="1"/>
      <c r="O15" s="130">
        <v>150</v>
      </c>
      <c r="P15" s="134"/>
      <c r="Q15" s="2" t="s">
        <v>131</v>
      </c>
      <c r="V15">
        <f t="shared" si="2"/>
        <v>0</v>
      </c>
    </row>
    <row r="16" spans="3:22" x14ac:dyDescent="0.3">
      <c r="C16" s="130">
        <v>5</v>
      </c>
      <c r="D16">
        <v>425</v>
      </c>
      <c r="E16" s="131">
        <f t="shared" si="3"/>
        <v>5.0004249999999999</v>
      </c>
      <c r="F16" s="1">
        <f>'OC4000 Values'!G16</f>
        <v>0</v>
      </c>
      <c r="H16" s="130">
        <v>1.5</v>
      </c>
      <c r="I16">
        <v>45</v>
      </c>
      <c r="J16" s="131">
        <f t="shared" si="0"/>
        <v>1.5000450000000001</v>
      </c>
      <c r="K16" s="1">
        <f t="shared" si="1"/>
        <v>4.500000000007276E-5</v>
      </c>
      <c r="L16" t="s">
        <v>96</v>
      </c>
      <c r="M16" s="1"/>
      <c r="O16" s="130">
        <v>165</v>
      </c>
      <c r="P16" s="134"/>
      <c r="Q16" s="2" t="s">
        <v>132</v>
      </c>
      <c r="V16">
        <f t="shared" si="2"/>
        <v>0</v>
      </c>
    </row>
    <row r="17" spans="3:22" x14ac:dyDescent="0.3">
      <c r="C17" s="130">
        <v>5.5</v>
      </c>
      <c r="D17">
        <v>458</v>
      </c>
      <c r="E17" s="131">
        <f t="shared" si="3"/>
        <v>5.5004580000000001</v>
      </c>
      <c r="F17" s="1"/>
      <c r="H17" s="130">
        <v>1.6</v>
      </c>
      <c r="I17">
        <v>43</v>
      </c>
      <c r="J17" s="131">
        <f t="shared" si="0"/>
        <v>1.6000430000000001</v>
      </c>
      <c r="K17" s="1">
        <f t="shared" si="1"/>
        <v>4.3000000000015248E-5</v>
      </c>
      <c r="L17" t="s">
        <v>97</v>
      </c>
      <c r="M17" s="1"/>
      <c r="O17" s="132">
        <v>180</v>
      </c>
      <c r="P17" s="135"/>
      <c r="Q17" s="2" t="s">
        <v>133</v>
      </c>
      <c r="V17">
        <f t="shared" si="2"/>
        <v>0</v>
      </c>
    </row>
    <row r="18" spans="3:22" x14ac:dyDescent="0.3">
      <c r="C18" s="130">
        <v>6</v>
      </c>
      <c r="D18">
        <v>449</v>
      </c>
      <c r="E18" s="131">
        <f t="shared" si="3"/>
        <v>6.0004489999999997</v>
      </c>
      <c r="F18" s="1">
        <f>'OC4000 Values'!G17</f>
        <v>0</v>
      </c>
      <c r="H18" s="132">
        <v>1.7</v>
      </c>
      <c r="I18" s="127">
        <v>43</v>
      </c>
      <c r="J18" s="133">
        <f t="shared" si="0"/>
        <v>1.700043</v>
      </c>
      <c r="K18" s="1">
        <f t="shared" si="1"/>
        <v>4.3000000000015248E-5</v>
      </c>
      <c r="L18" t="s">
        <v>98</v>
      </c>
      <c r="M18" s="1"/>
    </row>
    <row r="19" spans="3:22" x14ac:dyDescent="0.3">
      <c r="C19" s="130">
        <v>6.5</v>
      </c>
      <c r="D19">
        <v>467</v>
      </c>
      <c r="E19" s="131">
        <f t="shared" si="3"/>
        <v>6.5004670000000004</v>
      </c>
      <c r="F19" s="1"/>
      <c r="L19" t="s">
        <v>99</v>
      </c>
      <c r="M19" s="1"/>
    </row>
    <row r="20" spans="3:22" x14ac:dyDescent="0.3">
      <c r="C20" s="130">
        <v>7</v>
      </c>
      <c r="D20">
        <v>465</v>
      </c>
      <c r="E20" s="131">
        <f t="shared" si="3"/>
        <v>7.0004650000000002</v>
      </c>
      <c r="F20" s="1">
        <f>'OC4000 Values'!G18</f>
        <v>0</v>
      </c>
      <c r="L20" t="s">
        <v>100</v>
      </c>
      <c r="M20" s="1"/>
    </row>
    <row r="21" spans="3:22" x14ac:dyDescent="0.3">
      <c r="C21" s="130">
        <v>7.5</v>
      </c>
      <c r="D21">
        <v>475</v>
      </c>
      <c r="E21" s="131">
        <f t="shared" si="3"/>
        <v>7.5004749999999998</v>
      </c>
      <c r="F21" s="1"/>
      <c r="L21" t="s">
        <v>101</v>
      </c>
      <c r="M21" s="1"/>
    </row>
    <row r="22" spans="3:22" x14ac:dyDescent="0.3">
      <c r="C22" s="130">
        <v>8</v>
      </c>
      <c r="D22">
        <v>513</v>
      </c>
      <c r="E22" s="131">
        <f t="shared" si="3"/>
        <v>8.0005129999999998</v>
      </c>
      <c r="F22" s="1">
        <f>'OC4000 Values'!G19</f>
        <v>0</v>
      </c>
      <c r="L22" t="s">
        <v>102</v>
      </c>
      <c r="M22" s="1"/>
    </row>
    <row r="23" spans="3:22" x14ac:dyDescent="0.3">
      <c r="C23" s="130">
        <v>8.5</v>
      </c>
      <c r="E23" s="131"/>
      <c r="F23" s="1"/>
      <c r="L23" t="s">
        <v>103</v>
      </c>
      <c r="M23" s="1"/>
    </row>
    <row r="24" spans="3:22" x14ac:dyDescent="0.3">
      <c r="C24" s="130">
        <v>9</v>
      </c>
      <c r="E24" s="131"/>
      <c r="F24" s="1">
        <f>'OC4000 Values'!G20</f>
        <v>0</v>
      </c>
      <c r="L24" t="s">
        <v>104</v>
      </c>
      <c r="M24" s="1"/>
    </row>
    <row r="25" spans="3:22" x14ac:dyDescent="0.3">
      <c r="C25" s="130">
        <v>9.5</v>
      </c>
      <c r="E25" s="131"/>
      <c r="F25" s="1"/>
      <c r="L25" t="s">
        <v>105</v>
      </c>
      <c r="M25" s="1"/>
    </row>
    <row r="26" spans="3:22" x14ac:dyDescent="0.3">
      <c r="C26" s="130">
        <v>10</v>
      </c>
      <c r="E26" s="131"/>
      <c r="F26" s="1">
        <f>'OC4000 Values'!G21</f>
        <v>0</v>
      </c>
      <c r="L26" t="s">
        <v>106</v>
      </c>
      <c r="M26" s="1"/>
    </row>
    <row r="27" spans="3:22" x14ac:dyDescent="0.3">
      <c r="C27" s="130">
        <v>10.5</v>
      </c>
      <c r="E27" s="131"/>
      <c r="F27" s="1"/>
      <c r="L27" t="s">
        <v>107</v>
      </c>
      <c r="M27" s="1"/>
    </row>
    <row r="28" spans="3:22" x14ac:dyDescent="0.3">
      <c r="C28" s="130">
        <v>11</v>
      </c>
      <c r="E28" s="131"/>
      <c r="F28" s="1">
        <f>'OC4000 Values'!G22</f>
        <v>0</v>
      </c>
    </row>
    <row r="29" spans="3:22" x14ac:dyDescent="0.3">
      <c r="C29" s="130">
        <v>11.5</v>
      </c>
      <c r="E29" s="131"/>
      <c r="F29" s="1"/>
    </row>
    <row r="30" spans="3:22" x14ac:dyDescent="0.3">
      <c r="C30" s="132">
        <v>12</v>
      </c>
      <c r="D30" s="127"/>
      <c r="E30" s="133"/>
      <c r="F30" s="1">
        <f>'OC4000 Values'!G23</f>
        <v>0</v>
      </c>
    </row>
  </sheetData>
  <sheetProtection selectLockedCells="1" selectUnlockedCells="1"/>
  <phoneticPr fontId="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9065-361F-4536-9B59-467ACEA5442F}">
  <dimension ref="A1:AL39"/>
  <sheetViews>
    <sheetView topLeftCell="B1" workbookViewId="0">
      <selection activeCell="H6" sqref="H6"/>
    </sheetView>
  </sheetViews>
  <sheetFormatPr defaultRowHeight="14.4" x14ac:dyDescent="0.3"/>
  <cols>
    <col min="2" max="2" width="10.44140625" customWidth="1"/>
    <col min="3" max="3" width="9.6640625" bestFit="1" customWidth="1"/>
    <col min="4" max="4" width="13.88671875" style="43" customWidth="1"/>
    <col min="7" max="7" width="10.6640625" customWidth="1"/>
    <col min="25" max="25" width="12" customWidth="1"/>
    <col min="26" max="26" width="12.33203125" customWidth="1"/>
  </cols>
  <sheetData>
    <row r="1" spans="1:38" ht="29.25" customHeight="1" x14ac:dyDescent="0.35">
      <c r="A1" s="114"/>
      <c r="B1" s="115" t="s">
        <v>136</v>
      </c>
      <c r="C1" s="96"/>
      <c r="D1" s="118"/>
      <c r="E1" s="96"/>
      <c r="F1" s="96"/>
      <c r="G1" s="96"/>
      <c r="H1" s="96"/>
      <c r="I1" s="96"/>
      <c r="J1" s="96"/>
      <c r="K1" s="96"/>
      <c r="L1" s="96"/>
      <c r="M1" s="97"/>
      <c r="N1" s="105"/>
      <c r="O1" s="116" t="s">
        <v>137</v>
      </c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</row>
    <row r="2" spans="1:38" x14ac:dyDescent="0.3">
      <c r="A2" s="98"/>
      <c r="B2" s="99" t="s">
        <v>138</v>
      </c>
      <c r="C2" s="100"/>
      <c r="D2" s="119"/>
      <c r="E2" s="100"/>
      <c r="F2" s="100"/>
      <c r="G2" s="100"/>
      <c r="H2" s="100"/>
      <c r="I2" s="100"/>
      <c r="J2" s="100"/>
      <c r="K2" s="100"/>
      <c r="L2" s="100"/>
      <c r="M2" s="101"/>
      <c r="N2" s="107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</row>
    <row r="3" spans="1:38" x14ac:dyDescent="0.3">
      <c r="A3" s="98"/>
      <c r="B3" s="99" t="s">
        <v>139</v>
      </c>
      <c r="C3" s="117"/>
      <c r="D3" s="119"/>
      <c r="E3" s="100"/>
      <c r="F3" s="100"/>
      <c r="G3" s="100"/>
      <c r="H3" s="100" t="s">
        <v>140</v>
      </c>
      <c r="I3" s="100"/>
      <c r="J3" s="100"/>
      <c r="K3" s="100"/>
      <c r="L3" s="100"/>
      <c r="M3" s="101"/>
      <c r="N3" s="107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</row>
    <row r="4" spans="1:38" x14ac:dyDescent="0.3">
      <c r="A4" s="98"/>
      <c r="B4" s="99" t="s">
        <v>141</v>
      </c>
      <c r="C4" s="100"/>
      <c r="D4" s="119"/>
      <c r="E4" s="100" t="s">
        <v>30</v>
      </c>
      <c r="F4" s="100"/>
      <c r="G4" s="100"/>
      <c r="H4" s="100" t="s">
        <v>135</v>
      </c>
      <c r="I4" s="100"/>
      <c r="J4" s="100"/>
      <c r="K4" s="100"/>
      <c r="L4" s="100"/>
      <c r="M4" s="101"/>
      <c r="N4" s="107"/>
      <c r="O4" s="110" t="s">
        <v>141</v>
      </c>
      <c r="P4" s="108"/>
      <c r="Q4" s="108"/>
      <c r="R4" s="108"/>
      <c r="S4" s="108" t="s">
        <v>30</v>
      </c>
      <c r="T4" s="108"/>
      <c r="U4" s="108"/>
      <c r="V4" s="108" t="s">
        <v>135</v>
      </c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</row>
    <row r="5" spans="1:38" x14ac:dyDescent="0.3">
      <c r="A5" s="98"/>
      <c r="B5" s="99" t="s">
        <v>11</v>
      </c>
      <c r="C5" s="100" t="s">
        <v>142</v>
      </c>
      <c r="D5" s="119" t="s">
        <v>143</v>
      </c>
      <c r="E5" s="100" t="s">
        <v>11</v>
      </c>
      <c r="F5" s="100" t="s">
        <v>142</v>
      </c>
      <c r="G5" s="100" t="s">
        <v>143</v>
      </c>
      <c r="H5" s="100" t="s">
        <v>11</v>
      </c>
      <c r="I5" s="100" t="s">
        <v>13</v>
      </c>
      <c r="J5" s="100" t="s">
        <v>14</v>
      </c>
      <c r="K5" s="100" t="s">
        <v>15</v>
      </c>
      <c r="L5" s="100" t="s">
        <v>144</v>
      </c>
      <c r="M5" s="101" t="s">
        <v>145</v>
      </c>
      <c r="N5" s="107"/>
      <c r="O5" s="110" t="s">
        <v>11</v>
      </c>
      <c r="P5" s="108" t="s">
        <v>146</v>
      </c>
      <c r="Q5" s="108" t="s">
        <v>143</v>
      </c>
      <c r="R5" s="108"/>
      <c r="S5" s="108" t="s">
        <v>11</v>
      </c>
      <c r="T5" s="108" t="s">
        <v>146</v>
      </c>
      <c r="U5" s="108" t="s">
        <v>143</v>
      </c>
      <c r="V5" s="108" t="str">
        <f>H5</f>
        <v>Nominal</v>
      </c>
      <c r="W5" s="108" t="str">
        <f>I5</f>
        <v>Deg</v>
      </c>
      <c r="X5" s="108" t="str">
        <f t="shared" ref="X5:Z5" si="0">J5</f>
        <v>Min</v>
      </c>
      <c r="Y5" s="108" t="str">
        <f t="shared" si="0"/>
        <v>Sec</v>
      </c>
      <c r="Z5" s="123" t="str">
        <f t="shared" si="0"/>
        <v>Cts</v>
      </c>
      <c r="AA5" s="123" t="s">
        <v>147</v>
      </c>
      <c r="AB5" s="108" t="s">
        <v>13</v>
      </c>
      <c r="AC5" s="108" t="s">
        <v>14</v>
      </c>
      <c r="AD5" s="108" t="s">
        <v>15</v>
      </c>
      <c r="AE5" s="108"/>
      <c r="AF5" s="108"/>
      <c r="AG5" s="108"/>
      <c r="AH5" s="108"/>
      <c r="AI5" s="108"/>
      <c r="AJ5" s="108"/>
      <c r="AK5" s="108"/>
      <c r="AL5" s="108"/>
    </row>
    <row r="6" spans="1:38" x14ac:dyDescent="0.3">
      <c r="A6" s="98"/>
      <c r="B6" s="100">
        <v>0.5</v>
      </c>
      <c r="C6" s="100">
        <v>0.50001300000000004</v>
      </c>
      <c r="D6" s="120">
        <f>((C6-B6)-'OC3000 Values'!F7)</f>
        <v>-9.9999999991773336E-7</v>
      </c>
      <c r="E6" s="100">
        <v>0.1</v>
      </c>
      <c r="F6" s="100">
        <v>9.9949999999999997E-2</v>
      </c>
      <c r="G6" s="120">
        <f ca="1">((F6-E6)-'OC3000 Values'!I34)</f>
        <v>-0.10005340000000003</v>
      </c>
      <c r="H6" s="100">
        <v>15</v>
      </c>
      <c r="I6" s="100">
        <v>15</v>
      </c>
      <c r="J6" s="100">
        <v>0</v>
      </c>
      <c r="K6" s="100">
        <v>37</v>
      </c>
      <c r="L6" s="100">
        <f>K6+(J6*60)+(I6*60*60)</f>
        <v>54037</v>
      </c>
      <c r="M6" s="101">
        <f>'OC3000 Values'!V6</f>
        <v>53996.04</v>
      </c>
      <c r="N6" s="107"/>
      <c r="O6" s="108">
        <v>0.5</v>
      </c>
      <c r="P6" s="108">
        <v>0.50004000000000004</v>
      </c>
      <c r="Q6" s="122">
        <f>(P6-O6)-D6</f>
        <v>4.0999999999957737E-5</v>
      </c>
      <c r="R6" s="108"/>
      <c r="S6" s="108">
        <f>E6</f>
        <v>0.1</v>
      </c>
      <c r="T6" s="108">
        <v>9.9989999999999996E-2</v>
      </c>
      <c r="U6" s="122">
        <f ca="1">(T6-S6)-G6</f>
        <v>0.10004340000000002</v>
      </c>
      <c r="V6" s="108">
        <f t="shared" ref="V6:V17" si="1">H6</f>
        <v>15</v>
      </c>
      <c r="W6" s="108">
        <v>15</v>
      </c>
      <c r="X6" s="108">
        <v>0</v>
      </c>
      <c r="Y6" s="108">
        <v>56</v>
      </c>
      <c r="Z6" s="123">
        <f>Y6+(X6*60)+(W6*60*60)</f>
        <v>54056</v>
      </c>
      <c r="AA6" s="123">
        <f>Z6-(L6-M6)</f>
        <v>54015.040000000001</v>
      </c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</row>
    <row r="7" spans="1:38" x14ac:dyDescent="0.3">
      <c r="A7" s="98"/>
      <c r="B7" s="100">
        <v>1</v>
      </c>
      <c r="C7" s="100">
        <v>1.000054</v>
      </c>
      <c r="D7" s="120">
        <f>((C7-B7)-'OC3000 Values'!F8)</f>
        <v>0</v>
      </c>
      <c r="E7" s="100">
        <v>0.5</v>
      </c>
      <c r="F7" s="100">
        <v>0.49991000000000002</v>
      </c>
      <c r="G7" s="120">
        <f ca="1">((F7-E7)-'OC3000 Values'!I35)</f>
        <v>-0.50010700000000008</v>
      </c>
      <c r="H7" s="100">
        <v>30</v>
      </c>
      <c r="I7" s="100">
        <v>30</v>
      </c>
      <c r="J7" s="100">
        <v>0</v>
      </c>
      <c r="K7" s="100">
        <v>32</v>
      </c>
      <c r="L7" s="100">
        <f t="shared" ref="L7:L10" si="2">K7+(J7*60)+(I7*60*60)</f>
        <v>108032</v>
      </c>
      <c r="M7" s="101">
        <f>'OC3000 Values'!V7</f>
        <v>107988.12</v>
      </c>
      <c r="N7" s="107"/>
      <c r="O7" s="108">
        <v>1</v>
      </c>
      <c r="P7" s="108">
        <v>1.0000800000000001</v>
      </c>
      <c r="Q7" s="122">
        <f t="shared" ref="Q7:Q21" si="3">(P7-O7)-D7</f>
        <v>8.0000000000080007E-5</v>
      </c>
      <c r="R7" s="108"/>
      <c r="S7" s="108">
        <f t="shared" ref="S7:S19" si="4">E7</f>
        <v>0.5</v>
      </c>
      <c r="T7" s="108">
        <v>0.49995000000000001</v>
      </c>
      <c r="U7" s="122">
        <f t="shared" ref="U7:U19" ca="1" si="5">(T7-S7)-G7</f>
        <v>0.50005700000000008</v>
      </c>
      <c r="V7" s="108">
        <f t="shared" si="1"/>
        <v>30</v>
      </c>
      <c r="W7" s="108">
        <v>30</v>
      </c>
      <c r="X7" s="108">
        <v>0</v>
      </c>
      <c r="Y7" s="108">
        <v>30</v>
      </c>
      <c r="Z7" s="123">
        <f t="shared" ref="Z7:Z10" si="6">Y7+(X7*60)+(W7*60*60)</f>
        <v>108030</v>
      </c>
      <c r="AA7" s="123">
        <f t="shared" ref="AA7:AA17" si="7">Z7-(L7-M7)</f>
        <v>107986.12</v>
      </c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</row>
    <row r="8" spans="1:38" x14ac:dyDescent="0.3">
      <c r="A8" s="98"/>
      <c r="B8" s="100">
        <v>1.5</v>
      </c>
      <c r="C8" s="100">
        <v>1.500084</v>
      </c>
      <c r="D8" s="120">
        <f>((C8-B8)-'OC3000 Values'!F9)</f>
        <v>0</v>
      </c>
      <c r="E8" s="100">
        <v>1</v>
      </c>
      <c r="F8" s="100">
        <v>0.99988999999999995</v>
      </c>
      <c r="G8" s="120">
        <f ca="1">((F8-E8)-'OC3000 Values'!I36)</f>
        <v>-1.0001370000000001</v>
      </c>
      <c r="H8" s="100">
        <v>90</v>
      </c>
      <c r="I8" s="100">
        <v>90</v>
      </c>
      <c r="J8" s="100">
        <v>0</v>
      </c>
      <c r="K8" s="100">
        <v>51</v>
      </c>
      <c r="L8" s="100">
        <f t="shared" si="2"/>
        <v>324051</v>
      </c>
      <c r="M8" s="101">
        <f>'OC3000 Values'!V11</f>
        <v>323998.56</v>
      </c>
      <c r="N8" s="107"/>
      <c r="O8" s="108">
        <v>1.5</v>
      </c>
      <c r="P8" s="108">
        <v>1.5000500000000001</v>
      </c>
      <c r="Q8" s="122">
        <f t="shared" si="3"/>
        <v>5.0000000000105516E-5</v>
      </c>
      <c r="R8" s="108"/>
      <c r="S8" s="108">
        <f t="shared" si="4"/>
        <v>1</v>
      </c>
      <c r="T8" s="108">
        <v>0.99992999999999999</v>
      </c>
      <c r="U8" s="122">
        <f t="shared" ca="1" si="5"/>
        <v>1.000067</v>
      </c>
      <c r="V8" s="108">
        <f t="shared" si="1"/>
        <v>90</v>
      </c>
      <c r="W8" s="108">
        <v>90</v>
      </c>
      <c r="X8" s="108">
        <v>0</v>
      </c>
      <c r="Y8" s="108">
        <v>53</v>
      </c>
      <c r="Z8" s="123">
        <f t="shared" si="6"/>
        <v>324053</v>
      </c>
      <c r="AA8" s="123">
        <f t="shared" si="7"/>
        <v>324000.56</v>
      </c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</row>
    <row r="9" spans="1:38" x14ac:dyDescent="0.3">
      <c r="A9" s="98"/>
      <c r="B9" s="100">
        <v>2</v>
      </c>
      <c r="C9" s="100">
        <v>2.0000870000000002</v>
      </c>
      <c r="D9" s="120">
        <f>((C9-B9)-'OC3000 Values'!F10)</f>
        <v>1.5000000000320313E-5</v>
      </c>
      <c r="E9" s="100">
        <v>1.5</v>
      </c>
      <c r="F9" s="100">
        <v>1.4999499999999999</v>
      </c>
      <c r="G9" s="120">
        <f ca="1">((F9-E9)-'OC3000 Values'!I37)</f>
        <v>-1.5000740000000001</v>
      </c>
      <c r="H9" s="100">
        <v>135</v>
      </c>
      <c r="I9" s="100">
        <v>135</v>
      </c>
      <c r="J9" s="100">
        <v>1</v>
      </c>
      <c r="K9" s="100">
        <v>8</v>
      </c>
      <c r="L9" s="100">
        <f t="shared" si="2"/>
        <v>486068</v>
      </c>
      <c r="M9" s="101">
        <f>'OC3000 Values'!V14</f>
        <v>485991</v>
      </c>
      <c r="N9" s="107"/>
      <c r="O9" s="108">
        <v>2</v>
      </c>
      <c r="P9" s="108">
        <v>2.00013</v>
      </c>
      <c r="Q9" s="122">
        <f t="shared" si="3"/>
        <v>1.1499999999964317E-4</v>
      </c>
      <c r="R9" s="108"/>
      <c r="S9" s="108">
        <f t="shared" si="4"/>
        <v>1.5</v>
      </c>
      <c r="T9" s="108">
        <v>1.4999499999999999</v>
      </c>
      <c r="U9" s="122">
        <f t="shared" ca="1" si="5"/>
        <v>1.500024</v>
      </c>
      <c r="V9" s="108">
        <f t="shared" si="1"/>
        <v>135</v>
      </c>
      <c r="W9" s="108">
        <v>135</v>
      </c>
      <c r="X9" s="108">
        <v>2</v>
      </c>
      <c r="Y9" s="108">
        <v>4</v>
      </c>
      <c r="Z9" s="123">
        <f t="shared" si="6"/>
        <v>486124</v>
      </c>
      <c r="AA9" s="123">
        <f t="shared" si="7"/>
        <v>486047</v>
      </c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</row>
    <row r="10" spans="1:38" x14ac:dyDescent="0.3">
      <c r="A10" s="98"/>
      <c r="B10" s="100">
        <v>2.5</v>
      </c>
      <c r="C10" s="100">
        <v>2.5001319999999998</v>
      </c>
      <c r="D10" s="120">
        <f>((C10-B10)-'OC3000 Values'!F11)</f>
        <v>1.6000000000016001E-5</v>
      </c>
      <c r="E10" s="100">
        <v>1.7</v>
      </c>
      <c r="F10" s="100">
        <v>1.69997</v>
      </c>
      <c r="G10" s="120">
        <f ca="1">((F10-E10)-'OC3000 Values'!I38)</f>
        <v>-1.7000611999999999</v>
      </c>
      <c r="H10" s="100">
        <v>150</v>
      </c>
      <c r="I10" s="100">
        <v>150</v>
      </c>
      <c r="J10" s="100">
        <v>0</v>
      </c>
      <c r="K10" s="100">
        <v>49</v>
      </c>
      <c r="L10" s="100">
        <f t="shared" si="2"/>
        <v>540049</v>
      </c>
      <c r="M10" s="101">
        <f>'OC3000 Values'!V15</f>
        <v>539995.67999999993</v>
      </c>
      <c r="N10" s="107"/>
      <c r="O10" s="108">
        <v>2.5</v>
      </c>
      <c r="P10" s="108">
        <v>2.5000900000000001</v>
      </c>
      <c r="Q10" s="122">
        <f t="shared" si="3"/>
        <v>7.4000000000129518E-5</v>
      </c>
      <c r="R10" s="108"/>
      <c r="S10" s="108">
        <f t="shared" si="4"/>
        <v>1.7</v>
      </c>
      <c r="T10" s="108">
        <v>1.7000500000000001</v>
      </c>
      <c r="U10" s="122">
        <f t="shared" ca="1" si="5"/>
        <v>1.7001112</v>
      </c>
      <c r="V10" s="108">
        <f t="shared" si="1"/>
        <v>150</v>
      </c>
      <c r="W10" s="108">
        <v>150</v>
      </c>
      <c r="X10" s="108">
        <v>1</v>
      </c>
      <c r="Y10" s="108">
        <v>11</v>
      </c>
      <c r="Z10" s="123">
        <f t="shared" si="6"/>
        <v>540071</v>
      </c>
      <c r="AA10" s="123">
        <f t="shared" si="7"/>
        <v>540017.67999999993</v>
      </c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</row>
    <row r="11" spans="1:38" x14ac:dyDescent="0.3">
      <c r="A11" s="98"/>
      <c r="B11" s="100">
        <v>3</v>
      </c>
      <c r="C11" s="100">
        <v>3.000165</v>
      </c>
      <c r="D11" s="120">
        <f>((C11-B11)-'OC3000 Values'!F12)</f>
        <v>7.0000000000902673E-6</v>
      </c>
      <c r="E11" s="100"/>
      <c r="F11" s="100"/>
      <c r="G11" s="120" t="e">
        <f ca="1">((F11-E11)-'OC3000 Values'!I39)</f>
        <v>#VALUE!</v>
      </c>
      <c r="H11" s="100"/>
      <c r="I11" s="100"/>
      <c r="J11" s="100"/>
      <c r="K11" s="100"/>
      <c r="L11" s="100"/>
      <c r="M11" s="101"/>
      <c r="N11" s="107"/>
      <c r="O11" s="108">
        <v>3</v>
      </c>
      <c r="P11" s="108">
        <v>3.0001699999999998</v>
      </c>
      <c r="Q11" s="122">
        <f t="shared" si="3"/>
        <v>1.6299999999969117E-4</v>
      </c>
      <c r="R11" s="108"/>
      <c r="S11" s="108">
        <f t="shared" si="4"/>
        <v>0</v>
      </c>
      <c r="T11" s="108"/>
      <c r="U11" s="122" t="e">
        <f t="shared" ca="1" si="5"/>
        <v>#VALUE!</v>
      </c>
      <c r="V11" s="108">
        <f t="shared" si="1"/>
        <v>0</v>
      </c>
      <c r="W11" s="108"/>
      <c r="X11" s="108"/>
      <c r="Y11" s="108"/>
      <c r="Z11" s="123"/>
      <c r="AA11" s="123">
        <f t="shared" si="7"/>
        <v>0</v>
      </c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</row>
    <row r="12" spans="1:38" x14ac:dyDescent="0.3">
      <c r="A12" s="98"/>
      <c r="B12" s="100">
        <v>3.5</v>
      </c>
      <c r="C12" s="100">
        <v>3.5001760000000002</v>
      </c>
      <c r="D12" s="120">
        <f>((C12-B12)-'OC3000 Values'!F13)</f>
        <v>2.0000000000131024E-5</v>
      </c>
      <c r="E12" s="100"/>
      <c r="F12" s="100"/>
      <c r="G12" s="120" t="e">
        <f ca="1">((F12-E12)-'OC3000 Values'!I40)</f>
        <v>#VALUE!</v>
      </c>
      <c r="H12" s="100"/>
      <c r="I12" s="100"/>
      <c r="J12" s="100"/>
      <c r="K12" s="100"/>
      <c r="L12" s="100"/>
      <c r="M12" s="101"/>
      <c r="N12" s="107"/>
      <c r="O12" s="108">
        <v>3.5</v>
      </c>
      <c r="P12" s="108">
        <v>3.5001799999999998</v>
      </c>
      <c r="Q12" s="122">
        <f t="shared" si="3"/>
        <v>1.5999999999971593E-4</v>
      </c>
      <c r="R12" s="108"/>
      <c r="S12" s="108">
        <f t="shared" si="4"/>
        <v>0</v>
      </c>
      <c r="T12" s="108"/>
      <c r="U12" s="122" t="e">
        <f t="shared" ca="1" si="5"/>
        <v>#VALUE!</v>
      </c>
      <c r="V12" s="108">
        <f t="shared" si="1"/>
        <v>0</v>
      </c>
      <c r="W12" s="108"/>
      <c r="X12" s="108"/>
      <c r="Y12" s="108"/>
      <c r="Z12" s="123"/>
      <c r="AA12" s="123">
        <f t="shared" si="7"/>
        <v>0</v>
      </c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</row>
    <row r="13" spans="1:38" x14ac:dyDescent="0.3">
      <c r="A13" s="98"/>
      <c r="B13" s="100">
        <v>4</v>
      </c>
      <c r="C13" s="100">
        <v>4.0001959999999999</v>
      </c>
      <c r="D13" s="120">
        <f>((C13-B13)-'OC3000 Values'!F14)</f>
        <v>4.9999999998107114E-6</v>
      </c>
      <c r="E13" s="100"/>
      <c r="F13" s="100"/>
      <c r="G13" s="120" t="e">
        <f ca="1">((F13-E13)-'OC3000 Values'!I41)</f>
        <v>#VALUE!</v>
      </c>
      <c r="H13" s="100"/>
      <c r="I13" s="100"/>
      <c r="J13" s="100"/>
      <c r="K13" s="100"/>
      <c r="L13" s="100"/>
      <c r="M13" s="101"/>
      <c r="N13" s="107"/>
      <c r="O13" s="108">
        <v>4</v>
      </c>
      <c r="P13" s="108">
        <v>4.0002199999999997</v>
      </c>
      <c r="Q13" s="122">
        <f t="shared" si="3"/>
        <v>2.149999999998542E-4</v>
      </c>
      <c r="R13" s="108"/>
      <c r="S13" s="108">
        <f t="shared" si="4"/>
        <v>0</v>
      </c>
      <c r="T13" s="108"/>
      <c r="U13" s="122" t="e">
        <f t="shared" ca="1" si="5"/>
        <v>#VALUE!</v>
      </c>
      <c r="V13" s="108">
        <f t="shared" si="1"/>
        <v>0</v>
      </c>
      <c r="W13" s="108"/>
      <c r="X13" s="108"/>
      <c r="Y13" s="108"/>
      <c r="Z13" s="123"/>
      <c r="AA13" s="123">
        <f t="shared" si="7"/>
        <v>0</v>
      </c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</row>
    <row r="14" spans="1:38" x14ac:dyDescent="0.3">
      <c r="A14" s="98"/>
      <c r="B14" s="100">
        <v>4.5</v>
      </c>
      <c r="C14" s="100">
        <v>4.5002319999999996</v>
      </c>
      <c r="D14" s="120">
        <f>((C14-B14)-'OC3000 Values'!F15)</f>
        <v>1.699999999971169E-5</v>
      </c>
      <c r="E14" s="100"/>
      <c r="F14" s="100"/>
      <c r="G14" s="120" t="e">
        <f ca="1">((F14-E14)-'OC3000 Values'!I42)</f>
        <v>#VALUE!</v>
      </c>
      <c r="H14" s="100"/>
      <c r="I14" s="100"/>
      <c r="J14" s="100"/>
      <c r="K14" s="100"/>
      <c r="L14" s="100"/>
      <c r="M14" s="101"/>
      <c r="N14" s="107"/>
      <c r="O14" s="108">
        <v>4.5</v>
      </c>
      <c r="P14" s="108">
        <v>4.5003000000000002</v>
      </c>
      <c r="Q14" s="122">
        <f t="shared" si="3"/>
        <v>2.8300000000047731E-4</v>
      </c>
      <c r="R14" s="108"/>
      <c r="S14" s="108">
        <f t="shared" si="4"/>
        <v>0</v>
      </c>
      <c r="T14" s="108"/>
      <c r="U14" s="122" t="e">
        <f t="shared" ca="1" si="5"/>
        <v>#VALUE!</v>
      </c>
      <c r="V14" s="108">
        <f t="shared" si="1"/>
        <v>0</v>
      </c>
      <c r="W14" s="108"/>
      <c r="X14" s="108"/>
      <c r="Y14" s="108"/>
      <c r="Z14" s="123"/>
      <c r="AA14" s="123">
        <f t="shared" si="7"/>
        <v>0</v>
      </c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</row>
    <row r="15" spans="1:38" x14ac:dyDescent="0.3">
      <c r="A15" s="98"/>
      <c r="B15" s="100">
        <v>5</v>
      </c>
      <c r="C15" s="100">
        <v>5.000235</v>
      </c>
      <c r="D15" s="120">
        <f>((C15-B15)-'OC3000 Values'!F16)</f>
        <v>4.1000000000401826E-5</v>
      </c>
      <c r="E15" s="100"/>
      <c r="F15" s="100"/>
      <c r="G15" s="120" t="e">
        <f ca="1">((F15-E15)-'OC3000 Values'!I43)</f>
        <v>#VALUE!</v>
      </c>
      <c r="H15" s="100"/>
      <c r="I15" s="100"/>
      <c r="J15" s="100"/>
      <c r="K15" s="100"/>
      <c r="L15" s="100"/>
      <c r="M15" s="101"/>
      <c r="N15" s="107"/>
      <c r="O15" s="108">
        <v>5</v>
      </c>
      <c r="P15" s="108">
        <v>5.0003000000000002</v>
      </c>
      <c r="Q15" s="122">
        <f t="shared" si="3"/>
        <v>2.5899999999978718E-4</v>
      </c>
      <c r="R15" s="108"/>
      <c r="S15" s="108">
        <f t="shared" si="4"/>
        <v>0</v>
      </c>
      <c r="T15" s="108"/>
      <c r="U15" s="122" t="e">
        <f t="shared" ca="1" si="5"/>
        <v>#VALUE!</v>
      </c>
      <c r="V15" s="108">
        <f t="shared" si="1"/>
        <v>0</v>
      </c>
      <c r="W15" s="108"/>
      <c r="X15" s="108"/>
      <c r="Y15" s="108"/>
      <c r="Z15" s="123"/>
      <c r="AA15" s="123">
        <f t="shared" si="7"/>
        <v>0</v>
      </c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</row>
    <row r="16" spans="1:38" x14ac:dyDescent="0.3">
      <c r="A16" s="98"/>
      <c r="B16" s="100">
        <v>5.5</v>
      </c>
      <c r="C16" s="100">
        <v>5.5002339999999998</v>
      </c>
      <c r="D16" s="120">
        <f>((C16-B16)-'OC3000 Values'!F17)</f>
        <v>2.1000000000270802E-5</v>
      </c>
      <c r="E16" s="100"/>
      <c r="F16" s="100"/>
      <c r="G16" s="120" t="e">
        <f ca="1">((F16-E16)-'OC3000 Values'!I44)</f>
        <v>#VALUE!</v>
      </c>
      <c r="H16" s="100"/>
      <c r="I16" s="100"/>
      <c r="J16" s="100"/>
      <c r="K16" s="100"/>
      <c r="L16" s="100"/>
      <c r="M16" s="101"/>
      <c r="N16" s="107"/>
      <c r="O16" s="108">
        <v>5.5</v>
      </c>
      <c r="P16" s="108">
        <v>5.5003500000000001</v>
      </c>
      <c r="Q16" s="122">
        <f t="shared" si="3"/>
        <v>3.2899999999980167E-4</v>
      </c>
      <c r="R16" s="108"/>
      <c r="S16" s="108">
        <f t="shared" si="4"/>
        <v>0</v>
      </c>
      <c r="T16" s="108"/>
      <c r="U16" s="122" t="e">
        <f t="shared" ca="1" si="5"/>
        <v>#VALUE!</v>
      </c>
      <c r="V16" s="108">
        <f t="shared" si="1"/>
        <v>0</v>
      </c>
      <c r="W16" s="108"/>
      <c r="X16" s="108"/>
      <c r="Y16" s="108"/>
      <c r="Z16" s="123"/>
      <c r="AA16" s="123">
        <f t="shared" si="7"/>
        <v>0</v>
      </c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</row>
    <row r="17" spans="1:38" x14ac:dyDescent="0.3">
      <c r="A17" s="98"/>
      <c r="B17" s="100">
        <v>6</v>
      </c>
      <c r="C17" s="100">
        <v>6.0002700000000004</v>
      </c>
      <c r="D17" s="120">
        <f>((C17-B17)-'OC3000 Values'!F18)</f>
        <v>3.900000000012227E-5</v>
      </c>
      <c r="E17" s="100"/>
      <c r="F17" s="100"/>
      <c r="G17" s="120" t="e">
        <f ca="1">((F17-E17)-'OC3000 Values'!I45)</f>
        <v>#VALUE!</v>
      </c>
      <c r="H17" s="100"/>
      <c r="I17" s="100"/>
      <c r="J17" s="100"/>
      <c r="K17" s="100"/>
      <c r="L17" s="100"/>
      <c r="M17" s="101"/>
      <c r="N17" s="107"/>
      <c r="O17" s="108">
        <v>6</v>
      </c>
      <c r="P17" s="108">
        <v>6.0004299999999997</v>
      </c>
      <c r="Q17" s="122">
        <f t="shared" si="3"/>
        <v>3.9099999999958612E-4</v>
      </c>
      <c r="R17" s="108"/>
      <c r="S17" s="108">
        <f t="shared" si="4"/>
        <v>0</v>
      </c>
      <c r="T17" s="108"/>
      <c r="U17" s="122" t="e">
        <f t="shared" ca="1" si="5"/>
        <v>#VALUE!</v>
      </c>
      <c r="V17" s="108">
        <f t="shared" si="1"/>
        <v>0</v>
      </c>
      <c r="W17" s="108"/>
      <c r="X17" s="108"/>
      <c r="Y17" s="108"/>
      <c r="Z17" s="123"/>
      <c r="AA17" s="123">
        <f t="shared" si="7"/>
        <v>0</v>
      </c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</row>
    <row r="18" spans="1:38" ht="15" thickBot="1" x14ac:dyDescent="0.35">
      <c r="A18" s="98"/>
      <c r="B18" s="100">
        <v>6.5</v>
      </c>
      <c r="C18" s="100">
        <v>6.5002700000000004</v>
      </c>
      <c r="D18" s="120">
        <f>((C18-B18)-'OC3000 Values'!F19)</f>
        <v>3.8000000000870671E-5</v>
      </c>
      <c r="E18" s="100"/>
      <c r="F18" s="100"/>
      <c r="G18" s="120" t="e">
        <f ca="1">((F18-E18)-'OC3000 Values'!I46)</f>
        <v>#VALUE!</v>
      </c>
      <c r="H18" s="100"/>
      <c r="I18" s="100"/>
      <c r="J18" s="100"/>
      <c r="K18" s="100"/>
      <c r="L18" s="100"/>
      <c r="M18" s="101"/>
      <c r="N18" s="107"/>
      <c r="O18" s="108">
        <v>6.5</v>
      </c>
      <c r="P18" s="108">
        <v>6.5004299999999997</v>
      </c>
      <c r="Q18" s="122">
        <f t="shared" si="3"/>
        <v>3.9199999999883772E-4</v>
      </c>
      <c r="R18" s="108"/>
      <c r="S18" s="108">
        <f t="shared" si="4"/>
        <v>0</v>
      </c>
      <c r="T18" s="108"/>
      <c r="U18" s="122" t="e">
        <f t="shared" ca="1" si="5"/>
        <v>#VALUE!</v>
      </c>
      <c r="V18" s="108"/>
      <c r="W18" s="108"/>
      <c r="X18" s="108"/>
      <c r="Y18" s="108"/>
      <c r="Z18" s="108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</row>
    <row r="19" spans="1:38" x14ac:dyDescent="0.3">
      <c r="A19" s="98"/>
      <c r="B19" s="100">
        <v>7</v>
      </c>
      <c r="C19" s="100">
        <v>7.0002440000000004</v>
      </c>
      <c r="D19" s="120">
        <f>((C19-B19)-'OC3000 Values'!F20)</f>
        <v>4.8000000000492093E-5</v>
      </c>
      <c r="E19" s="100"/>
      <c r="F19" s="100"/>
      <c r="G19" s="120" t="e">
        <f ca="1">((F19-E19)-'OC3000 Values'!I47)</f>
        <v>#VALUE!</v>
      </c>
      <c r="H19" s="100"/>
      <c r="I19" s="100"/>
      <c r="J19" s="100" t="s">
        <v>148</v>
      </c>
      <c r="K19" s="100"/>
      <c r="L19" s="100"/>
      <c r="M19" s="101"/>
      <c r="N19" s="107"/>
      <c r="O19" s="108">
        <v>7</v>
      </c>
      <c r="P19" s="108">
        <v>7.0004299999999997</v>
      </c>
      <c r="Q19" s="122">
        <f t="shared" si="3"/>
        <v>3.819999999992163E-4</v>
      </c>
      <c r="R19" s="108"/>
      <c r="S19" s="108">
        <f t="shared" si="4"/>
        <v>0</v>
      </c>
      <c r="T19" s="108"/>
      <c r="U19" s="122" t="e">
        <f t="shared" ca="1" si="5"/>
        <v>#VALUE!</v>
      </c>
      <c r="V19" s="108"/>
      <c r="W19" s="108"/>
      <c r="X19" s="108" t="s">
        <v>148</v>
      </c>
      <c r="Y19" s="108"/>
      <c r="Z19" s="109"/>
    </row>
    <row r="20" spans="1:38" x14ac:dyDescent="0.3">
      <c r="A20" s="98"/>
      <c r="B20" s="100">
        <v>7.5</v>
      </c>
      <c r="C20" s="100">
        <v>7.5002760000000004</v>
      </c>
      <c r="D20" s="120">
        <f>((C20-B20)-'OC3000 Values'!F21)</f>
        <v>4.7000000000352316E-5</v>
      </c>
      <c r="E20" s="100"/>
      <c r="F20" s="100"/>
      <c r="G20" s="100"/>
      <c r="H20" s="100"/>
      <c r="I20" s="100" t="s">
        <v>149</v>
      </c>
      <c r="J20" s="100" t="s">
        <v>11</v>
      </c>
      <c r="K20" s="100" t="s">
        <v>142</v>
      </c>
      <c r="L20" s="100" t="s">
        <v>143</v>
      </c>
      <c r="M20" s="101"/>
      <c r="N20" s="107"/>
      <c r="O20" s="108">
        <v>7.5</v>
      </c>
      <c r="P20" s="108">
        <v>7.5004799999999996</v>
      </c>
      <c r="Q20" s="122">
        <f t="shared" si="3"/>
        <v>4.3299999999923955E-4</v>
      </c>
      <c r="R20" s="108"/>
      <c r="S20" s="108"/>
      <c r="T20" s="108"/>
      <c r="U20" s="108"/>
      <c r="V20" s="108"/>
      <c r="W20" s="108" t="s">
        <v>149</v>
      </c>
      <c r="X20" s="108" t="s">
        <v>11</v>
      </c>
      <c r="Y20" s="108" t="s">
        <v>146</v>
      </c>
      <c r="Z20" s="109" t="s">
        <v>143</v>
      </c>
    </row>
    <row r="21" spans="1:38" x14ac:dyDescent="0.3">
      <c r="A21" s="98"/>
      <c r="B21" s="100">
        <v>8</v>
      </c>
      <c r="C21" s="100">
        <v>8.0002639999999996</v>
      </c>
      <c r="D21" s="120">
        <f>((C21-B21)-'OC3000 Values'!F22)</f>
        <v>1.699999999971169E-5</v>
      </c>
      <c r="E21" s="100"/>
      <c r="F21" s="100"/>
      <c r="G21" s="100"/>
      <c r="H21" s="100"/>
      <c r="I21" s="100" t="s">
        <v>86</v>
      </c>
      <c r="J21" s="100"/>
      <c r="K21" s="100"/>
      <c r="L21" s="100"/>
      <c r="M21" s="101"/>
      <c r="N21" s="107" t="s">
        <v>150</v>
      </c>
      <c r="O21" s="108">
        <v>8</v>
      </c>
      <c r="P21" s="108">
        <v>8.0005199999999999</v>
      </c>
      <c r="Q21" s="122">
        <f t="shared" si="3"/>
        <v>5.0300000000014222E-4</v>
      </c>
      <c r="R21" s="108"/>
      <c r="S21" s="108"/>
      <c r="T21" s="108"/>
      <c r="U21" s="108"/>
      <c r="V21" s="108"/>
      <c r="W21" s="108" t="s">
        <v>86</v>
      </c>
      <c r="X21" s="108"/>
      <c r="Y21" s="108"/>
      <c r="Z21" s="109"/>
    </row>
    <row r="22" spans="1:38" x14ac:dyDescent="0.3">
      <c r="A22" s="98"/>
      <c r="B22" s="100">
        <v>8.5</v>
      </c>
      <c r="C22" s="100"/>
      <c r="D22" s="120"/>
      <c r="E22" s="100"/>
      <c r="F22" s="100"/>
      <c r="G22" s="100"/>
      <c r="H22" s="100"/>
      <c r="I22" s="100" t="s">
        <v>25</v>
      </c>
      <c r="J22" s="100"/>
      <c r="K22" s="100"/>
      <c r="L22" s="100"/>
      <c r="M22" s="101"/>
      <c r="N22" s="107">
        <v>7.5004799999999996</v>
      </c>
      <c r="O22" s="108">
        <v>8.5</v>
      </c>
      <c r="P22" s="108">
        <v>8.5004799999999996</v>
      </c>
      <c r="Q22" s="122">
        <f>(P22-O22)-D20</f>
        <v>4.3299999999923955E-4</v>
      </c>
      <c r="R22" s="108"/>
      <c r="S22" s="108"/>
      <c r="T22" s="108"/>
      <c r="U22" s="108"/>
      <c r="V22" s="108"/>
      <c r="W22" s="108" t="s">
        <v>25</v>
      </c>
      <c r="X22" s="108"/>
      <c r="Y22" s="108"/>
      <c r="Z22" s="109"/>
    </row>
    <row r="23" spans="1:38" x14ac:dyDescent="0.3">
      <c r="A23" s="98"/>
      <c r="B23" s="100">
        <v>9</v>
      </c>
      <c r="C23" s="100"/>
      <c r="D23" s="119"/>
      <c r="E23" s="100"/>
      <c r="F23" s="100"/>
      <c r="G23" s="100"/>
      <c r="H23" s="100"/>
      <c r="I23" s="100" t="s">
        <v>26</v>
      </c>
      <c r="J23" s="100"/>
      <c r="K23" s="100"/>
      <c r="L23" s="100"/>
      <c r="M23" s="101"/>
      <c r="N23" s="107">
        <v>8.0004799999999996</v>
      </c>
      <c r="O23" s="108">
        <v>9</v>
      </c>
      <c r="P23" s="108">
        <v>9.0004799999999996</v>
      </c>
      <c r="Q23" s="122">
        <f>(P23-O23)-D21</f>
        <v>4.6299999999988017E-4</v>
      </c>
      <c r="R23" s="108"/>
      <c r="S23" s="108"/>
      <c r="T23" s="108"/>
      <c r="U23" s="108"/>
      <c r="V23" s="108"/>
      <c r="W23" s="108" t="s">
        <v>26</v>
      </c>
      <c r="X23" s="108"/>
      <c r="Y23" s="108"/>
      <c r="Z23" s="109"/>
    </row>
    <row r="24" spans="1:38" x14ac:dyDescent="0.3">
      <c r="A24" s="98"/>
      <c r="B24" s="100">
        <v>9.5</v>
      </c>
      <c r="C24" s="100"/>
      <c r="D24" s="119"/>
      <c r="E24" s="100"/>
      <c r="F24" s="100"/>
      <c r="G24" s="100"/>
      <c r="H24" s="100"/>
      <c r="I24" s="100" t="s">
        <v>90</v>
      </c>
      <c r="J24" s="100"/>
      <c r="K24" s="100"/>
      <c r="L24" s="100"/>
      <c r="M24" s="101"/>
      <c r="N24" s="107"/>
      <c r="O24" s="108"/>
      <c r="P24" s="108"/>
      <c r="Q24" s="108"/>
      <c r="R24" s="108"/>
      <c r="S24" s="108"/>
      <c r="T24" s="108"/>
      <c r="U24" s="108"/>
      <c r="V24" s="108"/>
      <c r="W24" s="108" t="s">
        <v>90</v>
      </c>
      <c r="X24" s="108"/>
      <c r="Y24" s="108"/>
      <c r="Z24" s="109"/>
    </row>
    <row r="25" spans="1:38" x14ac:dyDescent="0.3">
      <c r="A25" s="98"/>
      <c r="B25" s="100">
        <v>10</v>
      </c>
      <c r="C25" s="100"/>
      <c r="D25" s="119"/>
      <c r="E25" s="100"/>
      <c r="F25" s="100"/>
      <c r="G25" s="100"/>
      <c r="H25" s="100"/>
      <c r="I25" s="100" t="s">
        <v>91</v>
      </c>
      <c r="J25" s="100"/>
      <c r="K25" s="100"/>
      <c r="L25" s="100"/>
      <c r="M25" s="101"/>
      <c r="N25" s="107"/>
      <c r="O25" s="108"/>
      <c r="P25" s="108"/>
      <c r="Q25" s="108"/>
      <c r="R25" s="108"/>
      <c r="S25" s="108"/>
      <c r="T25" s="108"/>
      <c r="U25" s="108"/>
      <c r="V25" s="108"/>
      <c r="W25" s="108" t="s">
        <v>91</v>
      </c>
      <c r="X25" s="108"/>
      <c r="Y25" s="108"/>
      <c r="Z25" s="109"/>
    </row>
    <row r="26" spans="1:38" x14ac:dyDescent="0.3">
      <c r="A26" s="98"/>
      <c r="B26" s="100">
        <v>10.5</v>
      </c>
      <c r="C26" s="100"/>
      <c r="D26" s="119"/>
      <c r="E26" s="100"/>
      <c r="F26" s="100"/>
      <c r="G26" s="100"/>
      <c r="H26" s="100"/>
      <c r="I26" s="100" t="s">
        <v>27</v>
      </c>
      <c r="J26" s="100"/>
      <c r="K26" s="100"/>
      <c r="L26" s="100"/>
      <c r="M26" s="101"/>
      <c r="N26" s="107"/>
      <c r="O26" s="108"/>
      <c r="P26" s="108"/>
      <c r="Q26" s="108"/>
      <c r="R26" s="108"/>
      <c r="S26" s="108"/>
      <c r="T26" s="108"/>
      <c r="U26" s="108"/>
      <c r="V26" s="108"/>
      <c r="W26" s="108" t="s">
        <v>27</v>
      </c>
      <c r="X26" s="108"/>
      <c r="Y26" s="108"/>
      <c r="Z26" s="109"/>
    </row>
    <row r="27" spans="1:38" x14ac:dyDescent="0.3">
      <c r="A27" s="98"/>
      <c r="B27" s="100">
        <v>11</v>
      </c>
      <c r="C27" s="100"/>
      <c r="D27" s="119"/>
      <c r="E27" s="100"/>
      <c r="F27" s="100"/>
      <c r="G27" s="100"/>
      <c r="H27" s="100"/>
      <c r="I27" s="100" t="s">
        <v>92</v>
      </c>
      <c r="J27" s="100"/>
      <c r="K27" s="100"/>
      <c r="L27" s="100"/>
      <c r="M27" s="101"/>
      <c r="N27" s="107"/>
      <c r="O27" s="108"/>
      <c r="P27" s="108"/>
      <c r="Q27" s="108"/>
      <c r="R27" s="108"/>
      <c r="S27" s="108"/>
      <c r="T27" s="108"/>
      <c r="U27" s="108"/>
      <c r="V27" s="108"/>
      <c r="W27" s="108" t="s">
        <v>92</v>
      </c>
      <c r="X27" s="108"/>
      <c r="Y27" s="108"/>
      <c r="Z27" s="109"/>
    </row>
    <row r="28" spans="1:38" x14ac:dyDescent="0.3">
      <c r="A28" s="98"/>
      <c r="B28" s="100">
        <v>11.5</v>
      </c>
      <c r="C28" s="100"/>
      <c r="D28" s="119"/>
      <c r="E28" s="100"/>
      <c r="F28" s="100"/>
      <c r="G28" s="100"/>
      <c r="H28" s="100"/>
      <c r="I28" s="100" t="s">
        <v>28</v>
      </c>
      <c r="J28" s="100"/>
      <c r="K28" s="100"/>
      <c r="L28" s="100"/>
      <c r="M28" s="101"/>
      <c r="N28" s="107"/>
      <c r="O28" s="108"/>
      <c r="P28" s="108"/>
      <c r="Q28" s="108"/>
      <c r="R28" s="108"/>
      <c r="S28" s="108"/>
      <c r="T28" s="108"/>
      <c r="U28" s="108"/>
      <c r="V28" s="108"/>
      <c r="W28" s="108" t="s">
        <v>28</v>
      </c>
      <c r="X28" s="108"/>
      <c r="Y28" s="108"/>
      <c r="Z28" s="109"/>
    </row>
    <row r="29" spans="1:38" x14ac:dyDescent="0.3">
      <c r="A29" s="98"/>
      <c r="B29" s="100">
        <v>12</v>
      </c>
      <c r="C29" s="100"/>
      <c r="D29" s="119"/>
      <c r="E29" s="100"/>
      <c r="F29" s="100"/>
      <c r="G29" s="100"/>
      <c r="H29" s="100"/>
      <c r="I29" s="100" t="s">
        <v>151</v>
      </c>
      <c r="J29" s="100"/>
      <c r="K29" s="100"/>
      <c r="L29" s="100"/>
      <c r="M29" s="101"/>
      <c r="N29" s="107"/>
      <c r="O29" s="108"/>
      <c r="P29" s="108"/>
      <c r="Q29" s="108"/>
      <c r="R29" s="108"/>
      <c r="S29" s="108"/>
      <c r="T29" s="108"/>
      <c r="U29" s="108"/>
      <c r="V29" s="108"/>
      <c r="W29" s="108" t="s">
        <v>151</v>
      </c>
      <c r="X29" s="108"/>
      <c r="Y29" s="108"/>
      <c r="Z29" s="109"/>
    </row>
    <row r="30" spans="1:38" x14ac:dyDescent="0.3">
      <c r="A30" s="98"/>
      <c r="B30" s="100"/>
      <c r="C30" s="100"/>
      <c r="D30" s="119"/>
      <c r="E30" s="100"/>
      <c r="F30" s="100"/>
      <c r="G30" s="100"/>
      <c r="H30" s="100"/>
      <c r="I30" s="100" t="s">
        <v>93</v>
      </c>
      <c r="J30" s="100"/>
      <c r="K30" s="100"/>
      <c r="L30" s="100"/>
      <c r="M30" s="101"/>
      <c r="N30" s="107"/>
      <c r="O30" s="108"/>
      <c r="P30" s="108"/>
      <c r="Q30" s="108"/>
      <c r="R30" s="108"/>
      <c r="S30" s="108"/>
      <c r="T30" s="108"/>
      <c r="U30" s="108"/>
      <c r="V30" s="108"/>
      <c r="W30" s="108" t="s">
        <v>93</v>
      </c>
      <c r="X30" s="108"/>
      <c r="Y30" s="108"/>
      <c r="Z30" s="109"/>
    </row>
    <row r="31" spans="1:38" x14ac:dyDescent="0.3">
      <c r="A31" s="98"/>
      <c r="B31" s="100"/>
      <c r="C31" s="100"/>
      <c r="D31" s="119"/>
      <c r="E31" s="100"/>
      <c r="F31" s="100"/>
      <c r="G31" s="100"/>
      <c r="H31" s="100"/>
      <c r="I31" s="100" t="s">
        <v>94</v>
      </c>
      <c r="J31" s="100"/>
      <c r="K31" s="100"/>
      <c r="L31" s="100"/>
      <c r="M31" s="101"/>
      <c r="N31" s="107"/>
      <c r="O31" s="108"/>
      <c r="P31" s="108"/>
      <c r="Q31" s="108"/>
      <c r="R31" s="108"/>
      <c r="S31" s="108"/>
      <c r="T31" s="108"/>
      <c r="U31" s="108"/>
      <c r="V31" s="108"/>
      <c r="W31" s="108" t="s">
        <v>94</v>
      </c>
      <c r="X31" s="108"/>
      <c r="Y31" s="108"/>
      <c r="Z31" s="109"/>
    </row>
    <row r="32" spans="1:38" x14ac:dyDescent="0.3">
      <c r="A32" s="98"/>
      <c r="B32" s="100"/>
      <c r="C32" s="100"/>
      <c r="D32" s="119"/>
      <c r="E32" s="100"/>
      <c r="F32" s="100"/>
      <c r="G32" s="100"/>
      <c r="H32" s="100"/>
      <c r="I32" s="100" t="s">
        <v>95</v>
      </c>
      <c r="J32" s="100"/>
      <c r="K32" s="100"/>
      <c r="L32" s="100"/>
      <c r="M32" s="101"/>
      <c r="N32" s="107"/>
      <c r="O32" s="108"/>
      <c r="P32" s="108"/>
      <c r="Q32" s="108"/>
      <c r="R32" s="108"/>
      <c r="S32" s="108"/>
      <c r="T32" s="108"/>
      <c r="U32" s="108"/>
      <c r="V32" s="108"/>
      <c r="W32" s="108" t="s">
        <v>95</v>
      </c>
      <c r="X32" s="108"/>
      <c r="Y32" s="108"/>
      <c r="Z32" s="109"/>
    </row>
    <row r="33" spans="1:26" x14ac:dyDescent="0.3">
      <c r="A33" s="98"/>
      <c r="B33" s="100"/>
      <c r="C33" s="100"/>
      <c r="D33" s="119"/>
      <c r="E33" s="100"/>
      <c r="F33" s="100"/>
      <c r="G33" s="100"/>
      <c r="H33" s="100"/>
      <c r="I33" s="100" t="s">
        <v>96</v>
      </c>
      <c r="J33" s="100"/>
      <c r="K33" s="100"/>
      <c r="L33" s="100"/>
      <c r="M33" s="101"/>
      <c r="N33" s="107"/>
      <c r="O33" s="108"/>
      <c r="P33" s="108"/>
      <c r="Q33" s="108"/>
      <c r="R33" s="108"/>
      <c r="S33" s="108"/>
      <c r="T33" s="108"/>
      <c r="U33" s="108"/>
      <c r="V33" s="108"/>
      <c r="W33" s="108" t="s">
        <v>96</v>
      </c>
      <c r="X33" s="108"/>
      <c r="Y33" s="108"/>
      <c r="Z33" s="109"/>
    </row>
    <row r="34" spans="1:26" x14ac:dyDescent="0.3">
      <c r="A34" s="98"/>
      <c r="B34" s="100"/>
      <c r="C34" s="100"/>
      <c r="D34" s="119"/>
      <c r="E34" s="100"/>
      <c r="F34" s="100"/>
      <c r="G34" s="100"/>
      <c r="H34" s="100"/>
      <c r="I34" s="100" t="s">
        <v>97</v>
      </c>
      <c r="J34" s="100"/>
      <c r="K34" s="100"/>
      <c r="L34" s="100"/>
      <c r="M34" s="101"/>
      <c r="N34" s="107"/>
      <c r="O34" s="108"/>
      <c r="P34" s="108"/>
      <c r="Q34" s="108"/>
      <c r="R34" s="108"/>
      <c r="S34" s="108"/>
      <c r="T34" s="108"/>
      <c r="U34" s="108"/>
      <c r="V34" s="108"/>
      <c r="W34" s="108" t="s">
        <v>97</v>
      </c>
      <c r="X34" s="108"/>
      <c r="Y34" s="108"/>
      <c r="Z34" s="109"/>
    </row>
    <row r="35" spans="1:26" x14ac:dyDescent="0.3">
      <c r="A35" s="98"/>
      <c r="B35" s="100"/>
      <c r="C35" s="100"/>
      <c r="D35" s="119"/>
      <c r="E35" s="100"/>
      <c r="F35" s="100"/>
      <c r="G35" s="100"/>
      <c r="H35" s="100"/>
      <c r="I35" s="100" t="s">
        <v>98</v>
      </c>
      <c r="J35" s="100"/>
      <c r="K35" s="100"/>
      <c r="L35" s="100"/>
      <c r="M35" s="101"/>
      <c r="N35" s="107"/>
      <c r="O35" s="108"/>
      <c r="P35" s="108"/>
      <c r="Q35" s="108"/>
      <c r="R35" s="108"/>
      <c r="S35" s="108"/>
      <c r="T35" s="108"/>
      <c r="U35" s="108"/>
      <c r="V35" s="108"/>
      <c r="W35" s="108" t="s">
        <v>98</v>
      </c>
      <c r="X35" s="108"/>
      <c r="Y35" s="108"/>
      <c r="Z35" s="109"/>
    </row>
    <row r="36" spans="1:26" x14ac:dyDescent="0.3">
      <c r="A36" s="98"/>
      <c r="B36" s="100"/>
      <c r="C36" s="100"/>
      <c r="D36" s="119"/>
      <c r="E36" s="100"/>
      <c r="F36" s="100"/>
      <c r="G36" s="100"/>
      <c r="H36" s="100"/>
      <c r="I36" s="100"/>
      <c r="J36" s="100"/>
      <c r="K36" s="100"/>
      <c r="L36" s="100"/>
      <c r="M36" s="101"/>
      <c r="N36" s="107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9"/>
    </row>
    <row r="37" spans="1:26" x14ac:dyDescent="0.3">
      <c r="A37" s="98"/>
      <c r="B37" s="100"/>
      <c r="C37" s="100"/>
      <c r="D37" s="119"/>
      <c r="E37" s="100"/>
      <c r="F37" s="100"/>
      <c r="G37" s="100"/>
      <c r="H37" s="100"/>
      <c r="I37" s="100"/>
      <c r="J37" s="100"/>
      <c r="K37" s="100"/>
      <c r="L37" s="100"/>
      <c r="M37" s="101"/>
      <c r="N37" s="107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9"/>
    </row>
    <row r="38" spans="1:26" x14ac:dyDescent="0.3">
      <c r="A38" s="98"/>
      <c r="B38" s="100"/>
      <c r="C38" s="100"/>
      <c r="D38" s="119"/>
      <c r="E38" s="100"/>
      <c r="F38" s="100"/>
      <c r="G38" s="100"/>
      <c r="H38" s="100"/>
      <c r="I38" s="100"/>
      <c r="J38" s="100"/>
      <c r="K38" s="100"/>
      <c r="L38" s="100"/>
      <c r="M38" s="101"/>
      <c r="N38" s="107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9"/>
    </row>
    <row r="39" spans="1:26" ht="15" thickBot="1" x14ac:dyDescent="0.35">
      <c r="A39" s="102"/>
      <c r="B39" s="103"/>
      <c r="C39" s="103"/>
      <c r="D39" s="121"/>
      <c r="E39" s="103"/>
      <c r="F39" s="103"/>
      <c r="G39" s="103"/>
      <c r="H39" s="103"/>
      <c r="I39" s="103"/>
      <c r="J39" s="103"/>
      <c r="K39" s="103"/>
      <c r="L39" s="103"/>
      <c r="M39" s="104"/>
      <c r="N39" s="111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5441-9CD5-4DBD-B7AA-0DCC7F0E7F9E}">
  <dimension ref="B1:V80"/>
  <sheetViews>
    <sheetView zoomScaleNormal="100" workbookViewId="0">
      <selection activeCell="E62" sqref="E62"/>
    </sheetView>
  </sheetViews>
  <sheetFormatPr defaultRowHeight="14.4" x14ac:dyDescent="0.3"/>
  <cols>
    <col min="3" max="3" width="10.6640625" customWidth="1"/>
    <col min="4" max="4" width="9.33203125" customWidth="1"/>
    <col min="5" max="5" width="12.44140625" customWidth="1"/>
    <col min="6" max="6" width="11.6640625" customWidth="1"/>
    <col min="7" max="7" width="17" style="1" customWidth="1"/>
    <col min="8" max="8" width="17.5546875" style="46" customWidth="1"/>
    <col min="9" max="9" width="15.5546875" customWidth="1"/>
    <col min="10" max="10" width="27.109375" customWidth="1"/>
    <col min="11" max="11" width="12" customWidth="1"/>
    <col min="16" max="16" width="14.109375" customWidth="1"/>
    <col min="20" max="20" width="23" style="42" customWidth="1"/>
    <col min="21" max="21" width="15.44140625" style="43" customWidth="1"/>
    <col min="22" max="22" width="22.88671875" style="43" customWidth="1"/>
  </cols>
  <sheetData>
    <row r="1" spans="3:22" x14ac:dyDescent="0.3">
      <c r="C1" t="s">
        <v>152</v>
      </c>
    </row>
    <row r="2" spans="3:22" ht="15" thickBot="1" x14ac:dyDescent="0.35">
      <c r="C2">
        <f>Worksheet!E29</f>
        <v>10</v>
      </c>
      <c r="D2" t="s">
        <v>153</v>
      </c>
      <c r="E2" t="s">
        <v>154</v>
      </c>
      <c r="F2" s="28">
        <v>42377</v>
      </c>
      <c r="I2" t="s">
        <v>155</v>
      </c>
    </row>
    <row r="3" spans="3:22" x14ac:dyDescent="0.3">
      <c r="I3" s="3" t="s">
        <v>109</v>
      </c>
      <c r="J3" s="4" t="s">
        <v>110</v>
      </c>
      <c r="K3" s="4" t="s">
        <v>111</v>
      </c>
      <c r="L3" s="4" t="s">
        <v>112</v>
      </c>
      <c r="M3" s="4" t="s">
        <v>113</v>
      </c>
      <c r="N3" s="4" t="s">
        <v>114</v>
      </c>
      <c r="O3" s="5" t="s">
        <v>115</v>
      </c>
      <c r="P3" t="s">
        <v>156</v>
      </c>
      <c r="R3" t="s">
        <v>157</v>
      </c>
    </row>
    <row r="4" spans="3:22" ht="15" thickBot="1" x14ac:dyDescent="0.35">
      <c r="C4" t="s">
        <v>158</v>
      </c>
      <c r="D4" t="s">
        <v>11</v>
      </c>
      <c r="E4" t="s">
        <v>142</v>
      </c>
      <c r="F4" t="s">
        <v>134</v>
      </c>
      <c r="G4" s="1" t="s">
        <v>159</v>
      </c>
      <c r="H4" s="46" t="s">
        <v>160</v>
      </c>
      <c r="I4" s="9">
        <f>Worksheet!F32</f>
        <v>0</v>
      </c>
      <c r="J4" s="10" t="e">
        <f ca="1">(I4-L4)/(M4-L4)*(O4-N4)+N4</f>
        <v>#VALUE!</v>
      </c>
      <c r="K4" s="6">
        <f>COUNTIF($C$5:$C$25,"&lt;"&amp;I4)</f>
        <v>0</v>
      </c>
      <c r="L4" s="6" t="str">
        <f ca="1">INDIRECT(ADDRESS(K4+4,3))</f>
        <v>Marked</v>
      </c>
      <c r="M4" s="6">
        <f ca="1">INDIRECT(ADDRESS(K4+5,3))</f>
        <v>0</v>
      </c>
      <c r="N4" s="6" t="str">
        <f ca="1">INDIRECT(ADDRESS(K4+4,8))</f>
        <v>Usage Corr. Factor</v>
      </c>
      <c r="O4" s="7">
        <f ca="1">INDIRECT(ADDRESS(K4+5,8))</f>
        <v>0</v>
      </c>
      <c r="P4" t="e">
        <f ca="1">I4+J4</f>
        <v>#VALUE!</v>
      </c>
      <c r="R4" t="s">
        <v>11</v>
      </c>
      <c r="S4" t="s">
        <v>146</v>
      </c>
      <c r="T4" s="42" t="s">
        <v>161</v>
      </c>
      <c r="U4" s="43" t="s">
        <v>162</v>
      </c>
      <c r="V4" s="43" t="s">
        <v>163</v>
      </c>
    </row>
    <row r="5" spans="3:22" ht="15" thickBot="1" x14ac:dyDescent="0.35">
      <c r="C5">
        <f>D5/$C$2</f>
        <v>0</v>
      </c>
      <c r="D5">
        <v>0</v>
      </c>
      <c r="E5" s="8">
        <v>0</v>
      </c>
      <c r="F5" s="8">
        <f>E5-D5</f>
        <v>0</v>
      </c>
      <c r="I5" s="9">
        <f>Worksheet!F33</f>
        <v>0</v>
      </c>
      <c r="J5" s="10" t="e">
        <f t="shared" ref="J5:J15" ca="1" si="0">(I5-L5)/(M5-L5)*(O5-N5)+N5</f>
        <v>#VALUE!</v>
      </c>
      <c r="K5" s="6">
        <f t="shared" ref="K5:K15" si="1">COUNTIF($C$5:$C$25,"&lt;"&amp;I5)</f>
        <v>0</v>
      </c>
      <c r="L5" s="6" t="str">
        <f t="shared" ref="L5:L15" ca="1" si="2">INDIRECT(ADDRESS(K5+4,3))</f>
        <v>Marked</v>
      </c>
      <c r="M5" s="6">
        <f t="shared" ref="M5:M15" ca="1" si="3">INDIRECT(ADDRESS(K5+5,3))</f>
        <v>0</v>
      </c>
      <c r="N5" s="6" t="str">
        <f t="shared" ref="N5:N15" ca="1" si="4">INDIRECT(ADDRESS(K5+4,5))</f>
        <v>indicated</v>
      </c>
      <c r="O5" s="7">
        <f t="shared" ref="O5:O15" ca="1" si="5">INDIRECT(ADDRESS(K5+5,5))</f>
        <v>0</v>
      </c>
      <c r="R5">
        <v>0</v>
      </c>
      <c r="S5">
        <v>0</v>
      </c>
      <c r="T5" s="42">
        <v>0</v>
      </c>
      <c r="U5" s="43">
        <v>0</v>
      </c>
    </row>
    <row r="6" spans="3:22" ht="15" thickBot="1" x14ac:dyDescent="0.35">
      <c r="C6">
        <f t="shared" ref="C6:C65" si="6">D6/$C$2</f>
        <v>0.02</v>
      </c>
      <c r="D6">
        <v>0.2</v>
      </c>
      <c r="E6" s="8"/>
      <c r="F6" s="8">
        <f>E6-D6</f>
        <v>-0.2</v>
      </c>
      <c r="G6" s="1">
        <f ca="1">J19</f>
        <v>-1.0400000000032606E-5</v>
      </c>
      <c r="H6" s="46">
        <f ca="1">-(F6+G6)</f>
        <v>0.20001040000000003</v>
      </c>
      <c r="I6" s="9">
        <f>Worksheet!F34</f>
        <v>0</v>
      </c>
      <c r="J6" s="10" t="e">
        <f t="shared" ca="1" si="0"/>
        <v>#VALUE!</v>
      </c>
      <c r="K6" s="6">
        <f t="shared" si="1"/>
        <v>0</v>
      </c>
      <c r="L6" s="6" t="str">
        <f t="shared" ca="1" si="2"/>
        <v>Marked</v>
      </c>
      <c r="M6" s="6">
        <f t="shared" ca="1" si="3"/>
        <v>0</v>
      </c>
      <c r="N6" s="6" t="str">
        <f t="shared" ca="1" si="4"/>
        <v>indicated</v>
      </c>
      <c r="O6" s="7">
        <f t="shared" ca="1" si="5"/>
        <v>0</v>
      </c>
      <c r="R6">
        <v>0.5</v>
      </c>
      <c r="S6">
        <v>0.50004000000000004</v>
      </c>
      <c r="T6" s="42">
        <f>-'OC3000 Values'!F7</f>
        <v>-1.399999999995849E-5</v>
      </c>
      <c r="U6" s="42">
        <f>S6+T6</f>
        <v>0.50002600000000008</v>
      </c>
      <c r="V6" s="42">
        <f>R6-U6</f>
        <v>-2.6000000000081513E-5</v>
      </c>
    </row>
    <row r="7" spans="3:22" ht="15" thickBot="1" x14ac:dyDescent="0.35">
      <c r="C7">
        <f t="shared" si="6"/>
        <v>0.04</v>
      </c>
      <c r="D7">
        <v>0.4</v>
      </c>
      <c r="E7" s="8"/>
      <c r="F7" s="8">
        <f t="shared" ref="F7:F65" si="7">E7-D7</f>
        <v>-0.4</v>
      </c>
      <c r="G7" s="1">
        <f t="shared" ref="G7:G65" ca="1" si="8">J20</f>
        <v>-2.0800000000065212E-5</v>
      </c>
      <c r="H7" s="46">
        <f t="shared" ref="H7:H45" ca="1" si="9">-(F7+G7)</f>
        <v>0.40002080000000007</v>
      </c>
      <c r="I7" s="9">
        <f>Worksheet!F35</f>
        <v>0</v>
      </c>
      <c r="J7" s="10" t="e">
        <f t="shared" ca="1" si="0"/>
        <v>#VALUE!</v>
      </c>
      <c r="K7" s="6">
        <f t="shared" si="1"/>
        <v>0</v>
      </c>
      <c r="L7" s="6" t="str">
        <f t="shared" ca="1" si="2"/>
        <v>Marked</v>
      </c>
      <c r="M7" s="6">
        <f t="shared" ca="1" si="3"/>
        <v>0</v>
      </c>
      <c r="N7" s="6" t="str">
        <f t="shared" ca="1" si="4"/>
        <v>indicated</v>
      </c>
      <c r="O7" s="7">
        <f t="shared" ca="1" si="5"/>
        <v>0</v>
      </c>
      <c r="R7">
        <v>1</v>
      </c>
      <c r="S7">
        <v>1.0000100000000001</v>
      </c>
      <c r="T7" s="42">
        <f>-'OC3000 Values'!F8</f>
        <v>-5.3999999999998494E-5</v>
      </c>
      <c r="U7" s="42">
        <f t="shared" ref="U7:U21" si="10">S7+T7</f>
        <v>0.99995600000000007</v>
      </c>
      <c r="V7" s="42">
        <f t="shared" ref="V7:V21" si="11">R7-U7</f>
        <v>4.3999999999932982E-5</v>
      </c>
    </row>
    <row r="8" spans="3:22" ht="15" thickBot="1" x14ac:dyDescent="0.35">
      <c r="C8">
        <f t="shared" si="6"/>
        <v>0.06</v>
      </c>
      <c r="D8">
        <v>0.6</v>
      </c>
      <c r="E8" s="8"/>
      <c r="F8" s="8">
        <f t="shared" si="7"/>
        <v>-0.6</v>
      </c>
      <c r="G8" s="1">
        <f t="shared" ca="1" si="8"/>
        <v>-1.2000000000078617E-5</v>
      </c>
      <c r="H8" s="46">
        <f t="shared" ca="1" si="9"/>
        <v>0.6000120000000001</v>
      </c>
      <c r="I8" s="9">
        <f>Worksheet!F36</f>
        <v>0</v>
      </c>
      <c r="J8" s="10" t="e">
        <f t="shared" ca="1" si="0"/>
        <v>#VALUE!</v>
      </c>
      <c r="K8" s="6">
        <f t="shared" si="1"/>
        <v>0</v>
      </c>
      <c r="L8" s="6" t="str">
        <f t="shared" ca="1" si="2"/>
        <v>Marked</v>
      </c>
      <c r="M8" s="6">
        <f t="shared" ca="1" si="3"/>
        <v>0</v>
      </c>
      <c r="N8" s="6" t="str">
        <f t="shared" ca="1" si="4"/>
        <v>indicated</v>
      </c>
      <c r="O8" s="7">
        <f t="shared" ca="1" si="5"/>
        <v>0</v>
      </c>
      <c r="R8">
        <v>1.5</v>
      </c>
      <c r="S8">
        <v>1.50013</v>
      </c>
      <c r="T8" s="42">
        <f>-'OC3000 Values'!F9</f>
        <v>-8.3999999999972985E-5</v>
      </c>
      <c r="U8" s="42">
        <f t="shared" si="10"/>
        <v>1.500046</v>
      </c>
      <c r="V8" s="42">
        <f t="shared" si="11"/>
        <v>-4.5999999999990493E-5</v>
      </c>
    </row>
    <row r="9" spans="3:22" ht="15" thickBot="1" x14ac:dyDescent="0.35">
      <c r="C9">
        <f t="shared" si="6"/>
        <v>0.08</v>
      </c>
      <c r="D9">
        <v>0.8</v>
      </c>
      <c r="E9" s="8"/>
      <c r="F9" s="8">
        <f t="shared" si="7"/>
        <v>-0.8</v>
      </c>
      <c r="G9" s="1">
        <f t="shared" ca="1" si="8"/>
        <v>1.5999999999927192E-5</v>
      </c>
      <c r="H9" s="46">
        <f t="shared" ca="1" si="9"/>
        <v>0.79998400000000014</v>
      </c>
      <c r="I9" s="9">
        <f>Worksheet!F37</f>
        <v>0</v>
      </c>
      <c r="J9" s="10" t="e">
        <f t="shared" ca="1" si="0"/>
        <v>#VALUE!</v>
      </c>
      <c r="K9" s="6">
        <f t="shared" si="1"/>
        <v>0</v>
      </c>
      <c r="L9" s="6" t="str">
        <f t="shared" ca="1" si="2"/>
        <v>Marked</v>
      </c>
      <c r="M9" s="6">
        <f t="shared" ca="1" si="3"/>
        <v>0</v>
      </c>
      <c r="N9" s="6" t="str">
        <f t="shared" ca="1" si="4"/>
        <v>indicated</v>
      </c>
      <c r="O9" s="7">
        <f t="shared" ca="1" si="5"/>
        <v>0</v>
      </c>
      <c r="R9">
        <v>2</v>
      </c>
      <c r="S9">
        <v>2.0000900000000001</v>
      </c>
      <c r="T9" s="42">
        <f>-'OC3000 Values'!F10</f>
        <v>-7.1999999999849962E-5</v>
      </c>
      <c r="U9" s="42">
        <f t="shared" si="10"/>
        <v>2.0000180000000003</v>
      </c>
      <c r="V9" s="42">
        <f t="shared" si="11"/>
        <v>-1.8000000000295557E-5</v>
      </c>
    </row>
    <row r="10" spans="3:22" ht="15" thickBot="1" x14ac:dyDescent="0.35">
      <c r="C10">
        <f t="shared" si="6"/>
        <v>0.1</v>
      </c>
      <c r="D10">
        <v>1</v>
      </c>
      <c r="E10" s="8">
        <v>0.99988999999999995</v>
      </c>
      <c r="F10" s="8">
        <f t="shared" si="7"/>
        <v>-1.100000000000545E-4</v>
      </c>
      <c r="G10" s="1">
        <f t="shared" ca="1" si="8"/>
        <v>4.3999999999932982E-5</v>
      </c>
      <c r="H10" s="46">
        <f t="shared" ca="1" si="9"/>
        <v>6.6000000000121517E-5</v>
      </c>
      <c r="I10" s="9">
        <f>Worksheet!F38</f>
        <v>0</v>
      </c>
      <c r="J10" s="10" t="e">
        <f t="shared" ca="1" si="0"/>
        <v>#VALUE!</v>
      </c>
      <c r="K10" s="6">
        <f t="shared" si="1"/>
        <v>0</v>
      </c>
      <c r="L10" s="6" t="str">
        <f t="shared" ca="1" si="2"/>
        <v>Marked</v>
      </c>
      <c r="M10" s="6">
        <f t="shared" ca="1" si="3"/>
        <v>0</v>
      </c>
      <c r="N10" s="6" t="str">
        <f t="shared" ca="1" si="4"/>
        <v>indicated</v>
      </c>
      <c r="O10" s="7">
        <f t="shared" ca="1" si="5"/>
        <v>0</v>
      </c>
      <c r="R10">
        <v>2.5</v>
      </c>
      <c r="S10">
        <v>2.5001699999999998</v>
      </c>
      <c r="T10" s="42">
        <f>-'OC3000 Values'!F11</f>
        <v>-1.1599999999978294E-4</v>
      </c>
      <c r="U10" s="42">
        <f t="shared" si="10"/>
        <v>2.500054</v>
      </c>
      <c r="V10" s="42">
        <f t="shared" si="11"/>
        <v>-5.3999999999998494E-5</v>
      </c>
    </row>
    <row r="11" spans="3:22" ht="15" thickBot="1" x14ac:dyDescent="0.35">
      <c r="C11">
        <f t="shared" si="6"/>
        <v>0.12</v>
      </c>
      <c r="D11">
        <v>1.2</v>
      </c>
      <c r="E11" s="8"/>
      <c r="F11" s="8">
        <f t="shared" si="7"/>
        <v>-1.2</v>
      </c>
      <c r="G11" s="1">
        <f t="shared" ca="1" si="8"/>
        <v>7.9999999999636026E-6</v>
      </c>
      <c r="H11" s="46">
        <f t="shared" ca="1" si="9"/>
        <v>1.1999919999999999</v>
      </c>
      <c r="I11" s="9">
        <f>Worksheet!F39</f>
        <v>0</v>
      </c>
      <c r="J11" s="10" t="e">
        <f t="shared" ca="1" si="0"/>
        <v>#VALUE!</v>
      </c>
      <c r="K11" s="6">
        <f t="shared" si="1"/>
        <v>0</v>
      </c>
      <c r="L11" s="6" t="str">
        <f t="shared" ca="1" si="2"/>
        <v>Marked</v>
      </c>
      <c r="M11" s="6">
        <f t="shared" ca="1" si="3"/>
        <v>0</v>
      </c>
      <c r="N11" s="6" t="str">
        <f t="shared" ca="1" si="4"/>
        <v>indicated</v>
      </c>
      <c r="O11" s="7">
        <f t="shared" ca="1" si="5"/>
        <v>0</v>
      </c>
      <c r="R11">
        <v>3</v>
      </c>
      <c r="S11">
        <v>3.0002499999999999</v>
      </c>
      <c r="T11" s="42">
        <f>-'OC3000 Values'!F12</f>
        <v>-1.5799999999988046E-4</v>
      </c>
      <c r="U11" s="42">
        <f t="shared" si="10"/>
        <v>3.000092</v>
      </c>
      <c r="V11" s="42">
        <f t="shared" si="11"/>
        <v>-9.1999999999980986E-5</v>
      </c>
    </row>
    <row r="12" spans="3:22" ht="15" thickBot="1" x14ac:dyDescent="0.35">
      <c r="C12">
        <f t="shared" si="6"/>
        <v>0.13999999999999999</v>
      </c>
      <c r="D12">
        <v>1.4</v>
      </c>
      <c r="E12" s="8"/>
      <c r="F12" s="8">
        <f t="shared" si="7"/>
        <v>-1.4</v>
      </c>
      <c r="G12" s="1">
        <f t="shared" ca="1" si="8"/>
        <v>-2.8000000000005776E-5</v>
      </c>
      <c r="H12" s="46">
        <f t="shared" ca="1" si="9"/>
        <v>1.4000279999999998</v>
      </c>
      <c r="I12" s="9">
        <f>Worksheet!F40</f>
        <v>0</v>
      </c>
      <c r="J12" s="10" t="e">
        <f t="shared" ca="1" si="0"/>
        <v>#VALUE!</v>
      </c>
      <c r="K12" s="6">
        <f t="shared" si="1"/>
        <v>0</v>
      </c>
      <c r="L12" s="6" t="str">
        <f t="shared" ca="1" si="2"/>
        <v>Marked</v>
      </c>
      <c r="M12" s="6">
        <f t="shared" ca="1" si="3"/>
        <v>0</v>
      </c>
      <c r="N12" s="6" t="str">
        <f t="shared" ca="1" si="4"/>
        <v>indicated</v>
      </c>
      <c r="O12" s="7">
        <f t="shared" ca="1" si="5"/>
        <v>0</v>
      </c>
      <c r="R12">
        <v>3.5</v>
      </c>
      <c r="S12">
        <v>3.5003000000000002</v>
      </c>
      <c r="T12" s="42">
        <f>-'OC3000 Values'!F13</f>
        <v>-1.5600000000004499E-4</v>
      </c>
      <c r="U12" s="42">
        <f t="shared" si="10"/>
        <v>3.5001440000000001</v>
      </c>
      <c r="V12" s="42">
        <f t="shared" si="11"/>
        <v>-1.4400000000014401E-4</v>
      </c>
    </row>
    <row r="13" spans="3:22" ht="15" thickBot="1" x14ac:dyDescent="0.35">
      <c r="C13">
        <f t="shared" si="6"/>
        <v>0.16</v>
      </c>
      <c r="D13">
        <v>1.6</v>
      </c>
      <c r="E13" s="8"/>
      <c r="F13" s="8">
        <f t="shared" si="7"/>
        <v>-1.6</v>
      </c>
      <c r="G13" s="1">
        <f t="shared" ca="1" si="8"/>
        <v>-4.0400000000051499E-5</v>
      </c>
      <c r="H13" s="46">
        <f t="shared" ca="1" si="9"/>
        <v>1.6000404000000001</v>
      </c>
      <c r="I13" s="9">
        <f>Worksheet!F41</f>
        <v>0</v>
      </c>
      <c r="J13" s="10" t="e">
        <f t="shared" ca="1" si="0"/>
        <v>#VALUE!</v>
      </c>
      <c r="K13" s="6">
        <f t="shared" si="1"/>
        <v>0</v>
      </c>
      <c r="L13" s="6" t="str">
        <f t="shared" ca="1" si="2"/>
        <v>Marked</v>
      </c>
      <c r="M13" s="6">
        <f t="shared" ca="1" si="3"/>
        <v>0</v>
      </c>
      <c r="N13" s="6" t="str">
        <f t="shared" ca="1" si="4"/>
        <v>indicated</v>
      </c>
      <c r="O13" s="7">
        <f t="shared" ca="1" si="5"/>
        <v>0</v>
      </c>
      <c r="R13">
        <v>4</v>
      </c>
      <c r="S13">
        <v>4.0003799999999998</v>
      </c>
      <c r="T13" s="42">
        <f>-'OC3000 Values'!F14</f>
        <v>-1.9100000000005224E-4</v>
      </c>
      <c r="U13" s="42">
        <f t="shared" si="10"/>
        <v>4.0001889999999998</v>
      </c>
      <c r="V13" s="42">
        <f t="shared" si="11"/>
        <v>-1.8899999999977268E-4</v>
      </c>
    </row>
    <row r="14" spans="3:22" ht="15" thickBot="1" x14ac:dyDescent="0.35">
      <c r="C14">
        <f t="shared" si="6"/>
        <v>0.18</v>
      </c>
      <c r="D14">
        <v>1.8</v>
      </c>
      <c r="E14" s="8"/>
      <c r="F14" s="8">
        <f t="shared" si="7"/>
        <v>-1.8</v>
      </c>
      <c r="G14" s="1">
        <f t="shared" ca="1" si="8"/>
        <v>-2.9200000000173528E-5</v>
      </c>
      <c r="H14" s="46">
        <f t="shared" ca="1" si="9"/>
        <v>1.8000292000000002</v>
      </c>
      <c r="I14" s="9">
        <f>Worksheet!F42</f>
        <v>0</v>
      </c>
      <c r="J14" s="10" t="e">
        <f t="shared" ca="1" si="0"/>
        <v>#VALUE!</v>
      </c>
      <c r="K14" s="6">
        <f t="shared" si="1"/>
        <v>0</v>
      </c>
      <c r="L14" s="6" t="str">
        <f t="shared" ca="1" si="2"/>
        <v>Marked</v>
      </c>
      <c r="M14" s="6">
        <f t="shared" ca="1" si="3"/>
        <v>0</v>
      </c>
      <c r="N14" s="6" t="str">
        <f t="shared" ca="1" si="4"/>
        <v>indicated</v>
      </c>
      <c r="O14" s="7">
        <f t="shared" ca="1" si="5"/>
        <v>0</v>
      </c>
      <c r="R14">
        <v>4.5</v>
      </c>
      <c r="S14">
        <v>4.5003799999999998</v>
      </c>
      <c r="T14" s="42">
        <f>-'OC3000 Values'!F15</f>
        <v>-2.149999999998542E-4</v>
      </c>
      <c r="U14" s="42">
        <f t="shared" si="10"/>
        <v>4.500165</v>
      </c>
      <c r="V14" s="42">
        <f t="shared" si="11"/>
        <v>-1.6499999999997073E-4</v>
      </c>
    </row>
    <row r="15" spans="3:22" ht="15" thickBot="1" x14ac:dyDescent="0.35">
      <c r="C15">
        <f t="shared" si="6"/>
        <v>0.2</v>
      </c>
      <c r="D15">
        <v>2</v>
      </c>
      <c r="E15" s="8">
        <v>1.99993</v>
      </c>
      <c r="F15" s="8">
        <f t="shared" si="7"/>
        <v>-7.0000000000014495E-5</v>
      </c>
      <c r="G15" s="1">
        <f t="shared" ca="1" si="8"/>
        <v>-1.8000000000295557E-5</v>
      </c>
      <c r="H15" s="46">
        <f t="shared" ca="1" si="9"/>
        <v>8.8000000000310052E-5</v>
      </c>
      <c r="I15" s="9">
        <f>Worksheet!F43</f>
        <v>0</v>
      </c>
      <c r="J15" s="10" t="e">
        <f t="shared" ca="1" si="0"/>
        <v>#VALUE!</v>
      </c>
      <c r="K15" s="6">
        <f t="shared" si="1"/>
        <v>0</v>
      </c>
      <c r="L15" s="6" t="str">
        <f t="shared" ca="1" si="2"/>
        <v>Marked</v>
      </c>
      <c r="M15" s="6">
        <f t="shared" ca="1" si="3"/>
        <v>0</v>
      </c>
      <c r="N15" s="6" t="str">
        <f t="shared" ca="1" si="4"/>
        <v>indicated</v>
      </c>
      <c r="O15" s="7">
        <f t="shared" ca="1" si="5"/>
        <v>0</v>
      </c>
      <c r="R15">
        <v>5</v>
      </c>
      <c r="S15">
        <v>5.0004200000000001</v>
      </c>
      <c r="T15" s="42">
        <f>-'OC3000 Values'!F16</f>
        <v>-1.9399999999958339E-4</v>
      </c>
      <c r="U15" s="42">
        <f t="shared" si="10"/>
        <v>5.0002260000000005</v>
      </c>
      <c r="V15" s="42">
        <f t="shared" si="11"/>
        <v>-2.2600000000050358E-4</v>
      </c>
    </row>
    <row r="16" spans="3:22" x14ac:dyDescent="0.3">
      <c r="C16">
        <f t="shared" si="6"/>
        <v>0.22000000000000003</v>
      </c>
      <c r="D16">
        <v>2.2000000000000002</v>
      </c>
      <c r="E16" s="8"/>
      <c r="F16" s="8">
        <f t="shared" si="7"/>
        <v>-2.2000000000000002</v>
      </c>
      <c r="G16" s="1">
        <f t="shared" ca="1" si="8"/>
        <v>-3.2400000000176747E-5</v>
      </c>
      <c r="H16" s="46">
        <f t="shared" ca="1" si="9"/>
        <v>2.2000324000000004</v>
      </c>
      <c r="R16">
        <v>5.5</v>
      </c>
      <c r="S16">
        <v>5.5004600000000003</v>
      </c>
      <c r="T16" s="42">
        <f>-'OC3000 Values'!F17</f>
        <v>-2.1299999999957464E-4</v>
      </c>
      <c r="U16" s="42">
        <f t="shared" si="10"/>
        <v>5.5002470000000008</v>
      </c>
      <c r="V16" s="42">
        <f t="shared" si="11"/>
        <v>-2.4700000000077438E-4</v>
      </c>
    </row>
    <row r="17" spans="3:22" ht="15" thickBot="1" x14ac:dyDescent="0.35">
      <c r="C17">
        <f t="shared" si="6"/>
        <v>0.24</v>
      </c>
      <c r="D17">
        <v>2.4</v>
      </c>
      <c r="E17" s="8"/>
      <c r="F17" s="8">
        <f t="shared" si="7"/>
        <v>-2.4</v>
      </c>
      <c r="G17" s="1">
        <f t="shared" ca="1" si="8"/>
        <v>-4.6800000000057896E-5</v>
      </c>
      <c r="H17" s="46">
        <f t="shared" ca="1" si="9"/>
        <v>2.4000468000000001</v>
      </c>
      <c r="I17" t="s">
        <v>164</v>
      </c>
      <c r="R17">
        <v>6</v>
      </c>
      <c r="S17">
        <v>6.00047</v>
      </c>
      <c r="T17" s="42">
        <f>-'OC3000 Values'!F18</f>
        <v>-2.3100000000031429E-4</v>
      </c>
      <c r="U17" s="42">
        <f t="shared" si="10"/>
        <v>6.0002389999999997</v>
      </c>
      <c r="V17" s="42">
        <f t="shared" si="11"/>
        <v>-2.3899999999965615E-4</v>
      </c>
    </row>
    <row r="18" spans="3:22" x14ac:dyDescent="0.3">
      <c r="C18">
        <f t="shared" si="6"/>
        <v>0.26</v>
      </c>
      <c r="D18">
        <v>2.6</v>
      </c>
      <c r="E18" s="8"/>
      <c r="F18" s="8">
        <f t="shared" si="7"/>
        <v>-2.6</v>
      </c>
      <c r="G18" s="1">
        <f t="shared" ca="1" si="8"/>
        <v>-6.1599999999994992E-5</v>
      </c>
      <c r="H18" s="46">
        <f t="shared" ca="1" si="9"/>
        <v>2.6000616000000001</v>
      </c>
      <c r="I18" s="3" t="s">
        <v>109</v>
      </c>
      <c r="J18" s="4" t="s">
        <v>110</v>
      </c>
      <c r="K18" s="4" t="s">
        <v>111</v>
      </c>
      <c r="L18" s="4" t="s">
        <v>112</v>
      </c>
      <c r="M18" s="4" t="s">
        <v>113</v>
      </c>
      <c r="N18" s="4" t="s">
        <v>114</v>
      </c>
      <c r="O18" s="5" t="s">
        <v>115</v>
      </c>
      <c r="R18">
        <v>6.5</v>
      </c>
      <c r="S18">
        <v>6.5004299999999997</v>
      </c>
      <c r="T18" s="42">
        <f>-'OC3000 Values'!F19</f>
        <v>-2.3199999999956589E-4</v>
      </c>
      <c r="U18" s="42">
        <f t="shared" si="10"/>
        <v>6.5001980000000001</v>
      </c>
      <c r="V18" s="42">
        <f t="shared" si="11"/>
        <v>-1.9800000000014251E-4</v>
      </c>
    </row>
    <row r="19" spans="3:22" ht="15" thickBot="1" x14ac:dyDescent="0.35">
      <c r="C19">
        <f t="shared" si="6"/>
        <v>0.27999999999999997</v>
      </c>
      <c r="D19">
        <v>2.8</v>
      </c>
      <c r="E19" s="8"/>
      <c r="F19" s="8">
        <f t="shared" si="7"/>
        <v>-2.8</v>
      </c>
      <c r="G19" s="1">
        <f t="shared" ca="1" si="8"/>
        <v>-7.6799999999987975E-5</v>
      </c>
      <c r="H19" s="46">
        <f t="shared" ca="1" si="9"/>
        <v>2.8000767999999998</v>
      </c>
      <c r="I19" s="44">
        <f>D6</f>
        <v>0.2</v>
      </c>
      <c r="J19" s="45">
        <f ca="1">(I19-L19)/(M19-L19)*(O19-N19)+N19</f>
        <v>-1.0400000000032606E-5</v>
      </c>
      <c r="K19" s="6">
        <f>COUNTIF($R$5:$R$65,"&lt;"&amp;I19)</f>
        <v>1</v>
      </c>
      <c r="L19" s="6">
        <f ca="1">INDIRECT(ADDRESS(K19+4,18))</f>
        <v>0</v>
      </c>
      <c r="M19" s="6">
        <f ca="1">INDIRECT(ADDRESS(K19+5,18))</f>
        <v>0.5</v>
      </c>
      <c r="N19" s="6">
        <f ca="1">INDIRECT(ADDRESS(K19+4,22))</f>
        <v>0</v>
      </c>
      <c r="O19" s="7">
        <f ca="1">INDIRECT(ADDRESS(K19+5,22))</f>
        <v>-2.6000000000081513E-5</v>
      </c>
      <c r="R19">
        <v>7</v>
      </c>
      <c r="S19">
        <v>7.0005499999999996</v>
      </c>
      <c r="T19" s="42">
        <f>-'OC3000 Values'!F20</f>
        <v>-1.9599999999986295E-4</v>
      </c>
      <c r="U19" s="42">
        <f t="shared" si="10"/>
        <v>7.0003539999999997</v>
      </c>
      <c r="V19" s="42">
        <f t="shared" si="11"/>
        <v>-3.5399999999974341E-4</v>
      </c>
    </row>
    <row r="20" spans="3:22" ht="15" thickBot="1" x14ac:dyDescent="0.35">
      <c r="C20">
        <f t="shared" si="6"/>
        <v>0.3</v>
      </c>
      <c r="D20">
        <v>3</v>
      </c>
      <c r="E20" s="8">
        <v>3.0001000000000002</v>
      </c>
      <c r="F20" s="8">
        <f t="shared" si="7"/>
        <v>1.0000000000021103E-4</v>
      </c>
      <c r="G20" s="1">
        <f t="shared" ca="1" si="8"/>
        <v>-9.1999999999980986E-5</v>
      </c>
      <c r="H20" s="46">
        <f t="shared" ca="1" si="9"/>
        <v>-8.0000000002300453E-6</v>
      </c>
      <c r="I20" s="44">
        <f t="shared" ref="I20:I80" si="12">D7</f>
        <v>0.4</v>
      </c>
      <c r="J20" s="45">
        <f t="shared" ref="J20:J80" ca="1" si="13">(I20-L20)/(M20-L20)*(O20-N20)+N20</f>
        <v>-2.0800000000065212E-5</v>
      </c>
      <c r="K20" s="6">
        <f t="shared" ref="K20:K80" si="14">COUNTIF($R$5:$R$65,"&lt;"&amp;I20)</f>
        <v>1</v>
      </c>
      <c r="L20" s="6">
        <f t="shared" ref="L20:L80" ca="1" si="15">INDIRECT(ADDRESS(K20+4,18))</f>
        <v>0</v>
      </c>
      <c r="M20" s="6">
        <f t="shared" ref="M20:M80" ca="1" si="16">INDIRECT(ADDRESS(K20+5,18))</f>
        <v>0.5</v>
      </c>
      <c r="N20" s="6">
        <f t="shared" ref="N20:N80" ca="1" si="17">INDIRECT(ADDRESS(K20+4,22))</f>
        <v>0</v>
      </c>
      <c r="O20" s="7">
        <f t="shared" ref="O20:O80" ca="1" si="18">INDIRECT(ADDRESS(K20+5,22))</f>
        <v>-2.6000000000081513E-5</v>
      </c>
      <c r="R20">
        <v>7.5</v>
      </c>
      <c r="S20">
        <v>7.5005899999999999</v>
      </c>
      <c r="T20" s="42">
        <f>-'OC3000 Values'!F21</f>
        <v>-2.2900000000003473E-4</v>
      </c>
      <c r="U20" s="42">
        <f t="shared" si="10"/>
        <v>7.5003609999999998</v>
      </c>
      <c r="V20" s="42">
        <f t="shared" si="11"/>
        <v>-3.6099999999983368E-4</v>
      </c>
    </row>
    <row r="21" spans="3:22" ht="15" thickBot="1" x14ac:dyDescent="0.35">
      <c r="C21">
        <f t="shared" si="6"/>
        <v>0.32</v>
      </c>
      <c r="D21">
        <v>3.2</v>
      </c>
      <c r="E21" s="8"/>
      <c r="F21" s="8">
        <f t="shared" si="7"/>
        <v>-3.2</v>
      </c>
      <c r="G21" s="1">
        <f t="shared" ca="1" si="8"/>
        <v>-1.1280000000004622E-4</v>
      </c>
      <c r="H21" s="46">
        <f t="shared" ca="1" si="9"/>
        <v>3.2001128000000003</v>
      </c>
      <c r="I21" s="44">
        <f t="shared" si="12"/>
        <v>0.6</v>
      </c>
      <c r="J21" s="45">
        <f t="shared" ca="1" si="13"/>
        <v>-1.2000000000078617E-5</v>
      </c>
      <c r="K21" s="6">
        <f t="shared" si="14"/>
        <v>2</v>
      </c>
      <c r="L21" s="6">
        <f t="shared" ca="1" si="15"/>
        <v>0.5</v>
      </c>
      <c r="M21" s="6">
        <f t="shared" ca="1" si="16"/>
        <v>1</v>
      </c>
      <c r="N21" s="6">
        <f t="shared" ca="1" si="17"/>
        <v>-2.6000000000081513E-5</v>
      </c>
      <c r="O21" s="7">
        <f t="shared" ca="1" si="18"/>
        <v>4.3999999999932982E-5</v>
      </c>
      <c r="R21">
        <v>8</v>
      </c>
      <c r="S21">
        <v>8.0006000000000004</v>
      </c>
      <c r="T21" s="42">
        <f>-'OC3000 Values'!F22</f>
        <v>-2.469999999998862E-4</v>
      </c>
      <c r="U21" s="42">
        <f t="shared" si="10"/>
        <v>8.0003530000000005</v>
      </c>
      <c r="V21" s="42">
        <f t="shared" si="11"/>
        <v>-3.5300000000049181E-4</v>
      </c>
    </row>
    <row r="22" spans="3:22" ht="15" thickBot="1" x14ac:dyDescent="0.35">
      <c r="C22">
        <f t="shared" si="6"/>
        <v>0.33999999999999997</v>
      </c>
      <c r="D22">
        <v>3.4</v>
      </c>
      <c r="E22" s="8"/>
      <c r="F22" s="8">
        <f t="shared" si="7"/>
        <v>-3.4</v>
      </c>
      <c r="G22" s="1">
        <f t="shared" ca="1" si="8"/>
        <v>-1.336000000001114E-4</v>
      </c>
      <c r="H22" s="46">
        <f t="shared" ca="1" si="9"/>
        <v>3.4001336000000002</v>
      </c>
      <c r="I22" s="44">
        <f t="shared" si="12"/>
        <v>0.8</v>
      </c>
      <c r="J22" s="45">
        <f t="shared" ca="1" si="13"/>
        <v>1.5999999999927192E-5</v>
      </c>
      <c r="K22" s="6">
        <f t="shared" si="14"/>
        <v>2</v>
      </c>
      <c r="L22" s="6">
        <f t="shared" ca="1" si="15"/>
        <v>0.5</v>
      </c>
      <c r="M22" s="6">
        <f t="shared" ca="1" si="16"/>
        <v>1</v>
      </c>
      <c r="N22" s="6">
        <f t="shared" ca="1" si="17"/>
        <v>-2.6000000000081513E-5</v>
      </c>
      <c r="O22" s="7">
        <f t="shared" ca="1" si="18"/>
        <v>4.3999999999932982E-5</v>
      </c>
    </row>
    <row r="23" spans="3:22" ht="15" thickBot="1" x14ac:dyDescent="0.35">
      <c r="C23">
        <f t="shared" si="6"/>
        <v>0.36</v>
      </c>
      <c r="D23">
        <v>3.6</v>
      </c>
      <c r="E23" s="8"/>
      <c r="F23" s="8">
        <f t="shared" si="7"/>
        <v>-3.6</v>
      </c>
      <c r="G23" s="1">
        <f t="shared" ca="1" si="8"/>
        <v>-1.5300000000006975E-4</v>
      </c>
      <c r="H23" s="46">
        <f t="shared" ca="1" si="9"/>
        <v>3.6001530000000002</v>
      </c>
      <c r="I23" s="44">
        <f t="shared" si="12"/>
        <v>1</v>
      </c>
      <c r="J23" s="45">
        <f t="shared" ca="1" si="13"/>
        <v>4.3999999999932982E-5</v>
      </c>
      <c r="K23" s="6">
        <f t="shared" si="14"/>
        <v>2</v>
      </c>
      <c r="L23" s="6">
        <f t="shared" ca="1" si="15"/>
        <v>0.5</v>
      </c>
      <c r="M23" s="6">
        <f t="shared" ca="1" si="16"/>
        <v>1</v>
      </c>
      <c r="N23" s="6">
        <f t="shared" ca="1" si="17"/>
        <v>-2.6000000000081513E-5</v>
      </c>
      <c r="O23" s="7">
        <f t="shared" ca="1" si="18"/>
        <v>4.3999999999932982E-5</v>
      </c>
    </row>
    <row r="24" spans="3:22" ht="15" thickBot="1" x14ac:dyDescent="0.35">
      <c r="C24">
        <f t="shared" si="6"/>
        <v>0.38</v>
      </c>
      <c r="D24">
        <v>3.8</v>
      </c>
      <c r="E24" s="8"/>
      <c r="F24" s="8">
        <f t="shared" si="7"/>
        <v>-3.8</v>
      </c>
      <c r="G24" s="1">
        <f t="shared" ca="1" si="8"/>
        <v>-1.7099999999992119E-4</v>
      </c>
      <c r="H24" s="46">
        <f t="shared" ca="1" si="9"/>
        <v>3.8001709999999997</v>
      </c>
      <c r="I24" s="44">
        <f t="shared" si="12"/>
        <v>1.2</v>
      </c>
      <c r="J24" s="45">
        <f t="shared" ca="1" si="13"/>
        <v>7.9999999999636026E-6</v>
      </c>
      <c r="K24" s="6">
        <f t="shared" si="14"/>
        <v>3</v>
      </c>
      <c r="L24" s="6">
        <f t="shared" ca="1" si="15"/>
        <v>1</v>
      </c>
      <c r="M24" s="6">
        <f t="shared" ca="1" si="16"/>
        <v>1.5</v>
      </c>
      <c r="N24" s="6">
        <f t="shared" ca="1" si="17"/>
        <v>4.3999999999932982E-5</v>
      </c>
      <c r="O24" s="7">
        <f t="shared" ca="1" si="18"/>
        <v>-4.5999999999990493E-5</v>
      </c>
    </row>
    <row r="25" spans="3:22" ht="15" thickBot="1" x14ac:dyDescent="0.35">
      <c r="C25">
        <f t="shared" si="6"/>
        <v>0.4</v>
      </c>
      <c r="D25">
        <v>4</v>
      </c>
      <c r="E25" s="8">
        <v>4.0002199999999997</v>
      </c>
      <c r="F25" s="8">
        <f t="shared" si="7"/>
        <v>2.1999999999966491E-4</v>
      </c>
      <c r="G25" s="1">
        <f t="shared" ca="1" si="8"/>
        <v>-1.8899999999977268E-4</v>
      </c>
      <c r="H25" s="46">
        <f t="shared" ca="1" si="9"/>
        <v>-3.0999999999892225E-5</v>
      </c>
      <c r="I25" s="44">
        <f t="shared" si="12"/>
        <v>1.4</v>
      </c>
      <c r="J25" s="45">
        <f t="shared" ca="1" si="13"/>
        <v>-2.8000000000005776E-5</v>
      </c>
      <c r="K25" s="6">
        <f t="shared" si="14"/>
        <v>3</v>
      </c>
      <c r="L25" s="6">
        <f t="shared" ca="1" si="15"/>
        <v>1</v>
      </c>
      <c r="M25" s="6">
        <f t="shared" ca="1" si="16"/>
        <v>1.5</v>
      </c>
      <c r="N25" s="6">
        <f t="shared" ca="1" si="17"/>
        <v>4.3999999999932982E-5</v>
      </c>
      <c r="O25" s="7">
        <f t="shared" ca="1" si="18"/>
        <v>-4.5999999999990493E-5</v>
      </c>
    </row>
    <row r="26" spans="3:22" ht="15" thickBot="1" x14ac:dyDescent="0.35">
      <c r="C26">
        <f t="shared" si="6"/>
        <v>0.42000000000000004</v>
      </c>
      <c r="D26">
        <v>4.2</v>
      </c>
      <c r="E26" s="8"/>
      <c r="F26" s="8">
        <f t="shared" si="7"/>
        <v>-4.2</v>
      </c>
      <c r="G26" s="1">
        <f t="shared" ca="1" si="8"/>
        <v>-1.7939999999985189E-4</v>
      </c>
      <c r="H26" s="46">
        <f t="shared" ca="1" si="9"/>
        <v>4.2001793999999997</v>
      </c>
      <c r="I26" s="44">
        <f t="shared" si="12"/>
        <v>1.6</v>
      </c>
      <c r="J26" s="45">
        <f t="shared" ca="1" si="13"/>
        <v>-4.0400000000051499E-5</v>
      </c>
      <c r="K26" s="6">
        <f t="shared" si="14"/>
        <v>4</v>
      </c>
      <c r="L26" s="6">
        <f t="shared" ca="1" si="15"/>
        <v>1.5</v>
      </c>
      <c r="M26" s="6">
        <f t="shared" ca="1" si="16"/>
        <v>2</v>
      </c>
      <c r="N26" s="6">
        <f t="shared" ca="1" si="17"/>
        <v>-4.5999999999990493E-5</v>
      </c>
      <c r="O26" s="7">
        <f t="shared" ca="1" si="18"/>
        <v>-1.8000000000295557E-5</v>
      </c>
    </row>
    <row r="27" spans="3:22" ht="15" thickBot="1" x14ac:dyDescent="0.35">
      <c r="C27">
        <f t="shared" si="6"/>
        <v>0.44000000000000006</v>
      </c>
      <c r="D27">
        <v>4.4000000000000004</v>
      </c>
      <c r="E27" s="8"/>
      <c r="F27" s="8">
        <f t="shared" si="7"/>
        <v>-4.4000000000000004</v>
      </c>
      <c r="G27" s="1">
        <f t="shared" ca="1" si="8"/>
        <v>-1.6979999999993111E-4</v>
      </c>
      <c r="H27" s="46">
        <f t="shared" ca="1" si="9"/>
        <v>4.4001698000000005</v>
      </c>
      <c r="I27" s="44">
        <f t="shared" si="12"/>
        <v>1.8</v>
      </c>
      <c r="J27" s="45">
        <f t="shared" ca="1" si="13"/>
        <v>-2.9200000000173528E-5</v>
      </c>
      <c r="K27" s="6">
        <f t="shared" si="14"/>
        <v>4</v>
      </c>
      <c r="L27" s="6">
        <f t="shared" ca="1" si="15"/>
        <v>1.5</v>
      </c>
      <c r="M27" s="6">
        <f t="shared" ca="1" si="16"/>
        <v>2</v>
      </c>
      <c r="N27" s="6">
        <f t="shared" ca="1" si="17"/>
        <v>-4.5999999999990493E-5</v>
      </c>
      <c r="O27" s="7">
        <f t="shared" ca="1" si="18"/>
        <v>-1.8000000000295557E-5</v>
      </c>
    </row>
    <row r="28" spans="3:22" ht="15" thickBot="1" x14ac:dyDescent="0.35">
      <c r="C28">
        <f t="shared" si="6"/>
        <v>0.45999999999999996</v>
      </c>
      <c r="D28">
        <v>4.5999999999999996</v>
      </c>
      <c r="E28" s="8"/>
      <c r="F28" s="8">
        <f t="shared" si="7"/>
        <v>-4.5999999999999996</v>
      </c>
      <c r="G28" s="1">
        <f t="shared" ca="1" si="8"/>
        <v>-1.7720000000007725E-4</v>
      </c>
      <c r="H28" s="46">
        <f t="shared" ca="1" si="9"/>
        <v>4.6001772000000001</v>
      </c>
      <c r="I28" s="44">
        <f t="shared" si="12"/>
        <v>2</v>
      </c>
      <c r="J28" s="45">
        <f t="shared" ca="1" si="13"/>
        <v>-1.8000000000295557E-5</v>
      </c>
      <c r="K28" s="6">
        <f t="shared" si="14"/>
        <v>4</v>
      </c>
      <c r="L28" s="6">
        <f t="shared" ca="1" si="15"/>
        <v>1.5</v>
      </c>
      <c r="M28" s="6">
        <f t="shared" ca="1" si="16"/>
        <v>2</v>
      </c>
      <c r="N28" s="6">
        <f t="shared" ca="1" si="17"/>
        <v>-4.5999999999990493E-5</v>
      </c>
      <c r="O28" s="7">
        <f t="shared" ca="1" si="18"/>
        <v>-1.8000000000295557E-5</v>
      </c>
    </row>
    <row r="29" spans="3:22" ht="15" thickBot="1" x14ac:dyDescent="0.35">
      <c r="C29">
        <f t="shared" si="6"/>
        <v>0.48</v>
      </c>
      <c r="D29">
        <v>4.8</v>
      </c>
      <c r="E29" s="8"/>
      <c r="F29" s="8">
        <f t="shared" si="7"/>
        <v>-4.8</v>
      </c>
      <c r="G29" s="1">
        <f t="shared" ca="1" si="8"/>
        <v>-2.0160000000029042E-4</v>
      </c>
      <c r="H29" s="46">
        <f t="shared" ca="1" si="9"/>
        <v>4.8002016000000003</v>
      </c>
      <c r="I29" s="44">
        <f t="shared" si="12"/>
        <v>2.2000000000000002</v>
      </c>
      <c r="J29" s="45">
        <f t="shared" ca="1" si="13"/>
        <v>-3.2400000000176747E-5</v>
      </c>
      <c r="K29" s="6">
        <f t="shared" si="14"/>
        <v>5</v>
      </c>
      <c r="L29" s="6">
        <f t="shared" ca="1" si="15"/>
        <v>2</v>
      </c>
      <c r="M29" s="6">
        <f t="shared" ca="1" si="16"/>
        <v>2.5</v>
      </c>
      <c r="N29" s="6">
        <f t="shared" ca="1" si="17"/>
        <v>-1.8000000000295557E-5</v>
      </c>
      <c r="O29" s="7">
        <f t="shared" ca="1" si="18"/>
        <v>-5.3999999999998494E-5</v>
      </c>
    </row>
    <row r="30" spans="3:22" ht="15" thickBot="1" x14ac:dyDescent="0.35">
      <c r="C30">
        <f t="shared" si="6"/>
        <v>0.5</v>
      </c>
      <c r="D30">
        <v>5</v>
      </c>
      <c r="E30" s="8">
        <v>5.0006399999999998</v>
      </c>
      <c r="F30" s="8">
        <f t="shared" si="7"/>
        <v>6.3999999999975188E-4</v>
      </c>
      <c r="G30" s="1">
        <f t="shared" ca="1" si="8"/>
        <v>-2.2600000000050358E-4</v>
      </c>
      <c r="H30" s="46">
        <f t="shared" ca="1" si="9"/>
        <v>-4.139999999992483E-4</v>
      </c>
      <c r="I30" s="44">
        <f t="shared" si="12"/>
        <v>2.4</v>
      </c>
      <c r="J30" s="45">
        <f t="shared" ca="1" si="13"/>
        <v>-4.6800000000057896E-5</v>
      </c>
      <c r="K30" s="6">
        <f t="shared" si="14"/>
        <v>5</v>
      </c>
      <c r="L30" s="6">
        <f t="shared" ca="1" si="15"/>
        <v>2</v>
      </c>
      <c r="M30" s="6">
        <f t="shared" ca="1" si="16"/>
        <v>2.5</v>
      </c>
      <c r="N30" s="6">
        <f t="shared" ca="1" si="17"/>
        <v>-1.8000000000295557E-5</v>
      </c>
      <c r="O30" s="7">
        <f t="shared" ca="1" si="18"/>
        <v>-5.3999999999998494E-5</v>
      </c>
    </row>
    <row r="31" spans="3:22" ht="15" thickBot="1" x14ac:dyDescent="0.35">
      <c r="C31">
        <f t="shared" si="6"/>
        <v>0.52</v>
      </c>
      <c r="D31">
        <v>5.2</v>
      </c>
      <c r="E31" s="8"/>
      <c r="F31" s="8">
        <f t="shared" si="7"/>
        <v>-5.2</v>
      </c>
      <c r="G31" s="1">
        <f t="shared" ca="1" si="8"/>
        <v>-2.344000000006119E-4</v>
      </c>
      <c r="H31" s="46">
        <f t="shared" ca="1" si="9"/>
        <v>5.2002344000000011</v>
      </c>
      <c r="I31" s="44">
        <f t="shared" si="12"/>
        <v>2.6</v>
      </c>
      <c r="J31" s="45">
        <f t="shared" ca="1" si="13"/>
        <v>-6.1599999999994992E-5</v>
      </c>
      <c r="K31" s="6">
        <f t="shared" si="14"/>
        <v>6</v>
      </c>
      <c r="L31" s="6">
        <f t="shared" ca="1" si="15"/>
        <v>2.5</v>
      </c>
      <c r="M31" s="6">
        <f t="shared" ca="1" si="16"/>
        <v>3</v>
      </c>
      <c r="N31" s="6">
        <f t="shared" ca="1" si="17"/>
        <v>-5.3999999999998494E-5</v>
      </c>
      <c r="O31" s="7">
        <f t="shared" ca="1" si="18"/>
        <v>-9.1999999999980986E-5</v>
      </c>
    </row>
    <row r="32" spans="3:22" ht="15" thickBot="1" x14ac:dyDescent="0.35">
      <c r="C32">
        <f t="shared" si="6"/>
        <v>0.54</v>
      </c>
      <c r="D32">
        <v>5.4</v>
      </c>
      <c r="E32" s="8"/>
      <c r="F32" s="8">
        <f t="shared" si="7"/>
        <v>-5.4</v>
      </c>
      <c r="G32" s="1">
        <f t="shared" ca="1" si="8"/>
        <v>-2.4280000000072023E-4</v>
      </c>
      <c r="H32" s="46">
        <f t="shared" ca="1" si="9"/>
        <v>5.4002428000000009</v>
      </c>
      <c r="I32" s="44">
        <f t="shared" si="12"/>
        <v>2.8</v>
      </c>
      <c r="J32" s="45">
        <f t="shared" ca="1" si="13"/>
        <v>-7.6799999999987975E-5</v>
      </c>
      <c r="K32" s="6">
        <f t="shared" si="14"/>
        <v>6</v>
      </c>
      <c r="L32" s="6">
        <f t="shared" ca="1" si="15"/>
        <v>2.5</v>
      </c>
      <c r="M32" s="6">
        <f t="shared" ca="1" si="16"/>
        <v>3</v>
      </c>
      <c r="N32" s="6">
        <f t="shared" ca="1" si="17"/>
        <v>-5.3999999999998494E-5</v>
      </c>
      <c r="O32" s="7">
        <f t="shared" ca="1" si="18"/>
        <v>-9.1999999999980986E-5</v>
      </c>
    </row>
    <row r="33" spans="3:15" ht="15" thickBot="1" x14ac:dyDescent="0.35">
      <c r="C33">
        <f t="shared" si="6"/>
        <v>0.55999999999999994</v>
      </c>
      <c r="D33">
        <v>5.6</v>
      </c>
      <c r="E33" s="8"/>
      <c r="F33" s="8">
        <f t="shared" si="7"/>
        <v>-5.6</v>
      </c>
      <c r="G33" s="1">
        <f t="shared" ca="1" si="8"/>
        <v>-2.4540000000055072E-4</v>
      </c>
      <c r="H33" s="46">
        <f t="shared" ca="1" si="9"/>
        <v>5.6002454000000004</v>
      </c>
      <c r="I33" s="44">
        <f t="shared" si="12"/>
        <v>3</v>
      </c>
      <c r="J33" s="45">
        <f t="shared" ca="1" si="13"/>
        <v>-9.1999999999980986E-5</v>
      </c>
      <c r="K33" s="6">
        <f t="shared" si="14"/>
        <v>6</v>
      </c>
      <c r="L33" s="6">
        <f t="shared" ca="1" si="15"/>
        <v>2.5</v>
      </c>
      <c r="M33" s="6">
        <f t="shared" ca="1" si="16"/>
        <v>3</v>
      </c>
      <c r="N33" s="6">
        <f t="shared" ca="1" si="17"/>
        <v>-5.3999999999998494E-5</v>
      </c>
      <c r="O33" s="7">
        <f t="shared" ca="1" si="18"/>
        <v>-9.1999999999980986E-5</v>
      </c>
    </row>
    <row r="34" spans="3:15" ht="15" thickBot="1" x14ac:dyDescent="0.35">
      <c r="C34">
        <f t="shared" si="6"/>
        <v>0.57999999999999996</v>
      </c>
      <c r="D34">
        <v>5.8</v>
      </c>
      <c r="E34" s="8"/>
      <c r="F34" s="8">
        <f t="shared" si="7"/>
        <v>-5.8</v>
      </c>
      <c r="G34" s="1">
        <f t="shared" ca="1" si="8"/>
        <v>-2.4220000000010344E-4</v>
      </c>
      <c r="H34" s="46">
        <f t="shared" ca="1" si="9"/>
        <v>5.8002421999999996</v>
      </c>
      <c r="I34" s="44">
        <f t="shared" si="12"/>
        <v>3.2</v>
      </c>
      <c r="J34" s="45">
        <f t="shared" ca="1" si="13"/>
        <v>-1.1280000000004622E-4</v>
      </c>
      <c r="K34" s="6">
        <f t="shared" si="14"/>
        <v>7</v>
      </c>
      <c r="L34" s="6">
        <f t="shared" ca="1" si="15"/>
        <v>3</v>
      </c>
      <c r="M34" s="6">
        <f t="shared" ca="1" si="16"/>
        <v>3.5</v>
      </c>
      <c r="N34" s="6">
        <f t="shared" ca="1" si="17"/>
        <v>-9.1999999999980986E-5</v>
      </c>
      <c r="O34" s="7">
        <f t="shared" ca="1" si="18"/>
        <v>-1.4400000000014401E-4</v>
      </c>
    </row>
    <row r="35" spans="3:15" ht="15" thickBot="1" x14ac:dyDescent="0.35">
      <c r="C35">
        <f t="shared" si="6"/>
        <v>0.6</v>
      </c>
      <c r="D35">
        <v>6</v>
      </c>
      <c r="E35" s="8">
        <v>6.0001899999999999</v>
      </c>
      <c r="F35" s="8">
        <f t="shared" si="7"/>
        <v>1.8999999999991246E-4</v>
      </c>
      <c r="G35" s="1">
        <f t="shared" ca="1" si="8"/>
        <v>-2.3899999999965615E-4</v>
      </c>
      <c r="H35" s="46">
        <f t="shared" ca="1" si="9"/>
        <v>4.8999999999743693E-5</v>
      </c>
      <c r="I35" s="44">
        <f t="shared" si="12"/>
        <v>3.4</v>
      </c>
      <c r="J35" s="45">
        <f t="shared" ca="1" si="13"/>
        <v>-1.336000000001114E-4</v>
      </c>
      <c r="K35" s="6">
        <f t="shared" si="14"/>
        <v>7</v>
      </c>
      <c r="L35" s="6">
        <f t="shared" ca="1" si="15"/>
        <v>3</v>
      </c>
      <c r="M35" s="6">
        <f t="shared" ca="1" si="16"/>
        <v>3.5</v>
      </c>
      <c r="N35" s="6">
        <f t="shared" ca="1" si="17"/>
        <v>-9.1999999999980986E-5</v>
      </c>
      <c r="O35" s="7">
        <f t="shared" ca="1" si="18"/>
        <v>-1.4400000000014401E-4</v>
      </c>
    </row>
    <row r="36" spans="3:15" ht="15" thickBot="1" x14ac:dyDescent="0.35">
      <c r="C36">
        <f t="shared" si="6"/>
        <v>0.62</v>
      </c>
      <c r="D36">
        <v>6.2</v>
      </c>
      <c r="E36" s="8"/>
      <c r="F36" s="8">
        <f t="shared" si="7"/>
        <v>-6.2</v>
      </c>
      <c r="G36" s="1">
        <f t="shared" ca="1" si="8"/>
        <v>-2.225999999998507E-4</v>
      </c>
      <c r="H36" s="46">
        <f t="shared" ca="1" si="9"/>
        <v>6.2002226</v>
      </c>
      <c r="I36" s="44">
        <f t="shared" si="12"/>
        <v>3.6</v>
      </c>
      <c r="J36" s="45">
        <f t="shared" ca="1" si="13"/>
        <v>-1.5300000000006975E-4</v>
      </c>
      <c r="K36" s="6">
        <f t="shared" si="14"/>
        <v>8</v>
      </c>
      <c r="L36" s="6">
        <f t="shared" ca="1" si="15"/>
        <v>3.5</v>
      </c>
      <c r="M36" s="6">
        <f t="shared" ca="1" si="16"/>
        <v>4</v>
      </c>
      <c r="N36" s="6">
        <f t="shared" ca="1" si="17"/>
        <v>-1.4400000000014401E-4</v>
      </c>
      <c r="O36" s="7">
        <f t="shared" ca="1" si="18"/>
        <v>-1.8899999999977268E-4</v>
      </c>
    </row>
    <row r="37" spans="3:15" ht="15" thickBot="1" x14ac:dyDescent="0.35">
      <c r="C37">
        <f t="shared" si="6"/>
        <v>0.64</v>
      </c>
      <c r="D37">
        <v>6.4</v>
      </c>
      <c r="E37" s="8"/>
      <c r="F37" s="8">
        <f t="shared" si="7"/>
        <v>-6.4</v>
      </c>
      <c r="G37" s="1">
        <f t="shared" ca="1" si="8"/>
        <v>-2.0620000000004521E-4</v>
      </c>
      <c r="H37" s="46">
        <f t="shared" ca="1" si="9"/>
        <v>6.4002062000000004</v>
      </c>
      <c r="I37" s="44">
        <f t="shared" si="12"/>
        <v>3.8</v>
      </c>
      <c r="J37" s="45">
        <f t="shared" ca="1" si="13"/>
        <v>-1.7099999999992119E-4</v>
      </c>
      <c r="K37" s="6">
        <f t="shared" si="14"/>
        <v>8</v>
      </c>
      <c r="L37" s="6">
        <f t="shared" ca="1" si="15"/>
        <v>3.5</v>
      </c>
      <c r="M37" s="6">
        <f t="shared" ca="1" si="16"/>
        <v>4</v>
      </c>
      <c r="N37" s="6">
        <f t="shared" ca="1" si="17"/>
        <v>-1.4400000000014401E-4</v>
      </c>
      <c r="O37" s="7">
        <f t="shared" ca="1" si="18"/>
        <v>-1.8899999999977268E-4</v>
      </c>
    </row>
    <row r="38" spans="3:15" ht="15" thickBot="1" x14ac:dyDescent="0.35">
      <c r="C38">
        <f t="shared" si="6"/>
        <v>0.65999999999999992</v>
      </c>
      <c r="D38">
        <v>6.6</v>
      </c>
      <c r="E38" s="8"/>
      <c r="F38" s="8">
        <f t="shared" si="7"/>
        <v>-6.6</v>
      </c>
      <c r="G38" s="1">
        <f t="shared" ca="1" si="8"/>
        <v>-2.2920000000006257E-4</v>
      </c>
      <c r="H38" s="46">
        <f t="shared" ca="1" si="9"/>
        <v>6.6002291999999994</v>
      </c>
      <c r="I38" s="44">
        <f t="shared" si="12"/>
        <v>4</v>
      </c>
      <c r="J38" s="45">
        <f t="shared" ca="1" si="13"/>
        <v>-1.8899999999977268E-4</v>
      </c>
      <c r="K38" s="6">
        <f t="shared" si="14"/>
        <v>8</v>
      </c>
      <c r="L38" s="6">
        <f t="shared" ca="1" si="15"/>
        <v>3.5</v>
      </c>
      <c r="M38" s="6">
        <f t="shared" ca="1" si="16"/>
        <v>4</v>
      </c>
      <c r="N38" s="6">
        <f t="shared" ca="1" si="17"/>
        <v>-1.4400000000014401E-4</v>
      </c>
      <c r="O38" s="7">
        <f t="shared" ca="1" si="18"/>
        <v>-1.8899999999977268E-4</v>
      </c>
    </row>
    <row r="39" spans="3:15" ht="15" thickBot="1" x14ac:dyDescent="0.35">
      <c r="C39">
        <f t="shared" si="6"/>
        <v>0.67999999999999994</v>
      </c>
      <c r="D39">
        <v>6.8</v>
      </c>
      <c r="E39" s="8"/>
      <c r="F39" s="8">
        <f t="shared" si="7"/>
        <v>-6.8</v>
      </c>
      <c r="G39" s="1">
        <f t="shared" ca="1" si="8"/>
        <v>-2.91599999999903E-4</v>
      </c>
      <c r="H39" s="46">
        <f t="shared" ca="1" si="9"/>
        <v>6.8002915999999995</v>
      </c>
      <c r="I39" s="44">
        <f t="shared" si="12"/>
        <v>4.2</v>
      </c>
      <c r="J39" s="45">
        <f t="shared" ca="1" si="13"/>
        <v>-1.7939999999985189E-4</v>
      </c>
      <c r="K39" s="6">
        <f t="shared" si="14"/>
        <v>9</v>
      </c>
      <c r="L39" s="6">
        <f t="shared" ca="1" si="15"/>
        <v>4</v>
      </c>
      <c r="M39" s="6">
        <f t="shared" ca="1" si="16"/>
        <v>4.5</v>
      </c>
      <c r="N39" s="6">
        <f t="shared" ca="1" si="17"/>
        <v>-1.8899999999977268E-4</v>
      </c>
      <c r="O39" s="7">
        <f t="shared" ca="1" si="18"/>
        <v>-1.6499999999997073E-4</v>
      </c>
    </row>
    <row r="40" spans="3:15" ht="15" thickBot="1" x14ac:dyDescent="0.35">
      <c r="C40">
        <f t="shared" si="6"/>
        <v>0.7</v>
      </c>
      <c r="D40">
        <v>7</v>
      </c>
      <c r="E40" s="8">
        <v>7.0004299999999997</v>
      </c>
      <c r="F40" s="8">
        <f t="shared" si="7"/>
        <v>4.2999999999970839E-4</v>
      </c>
      <c r="G40" s="1">
        <f t="shared" ca="1" si="8"/>
        <v>-3.5399999999974341E-4</v>
      </c>
      <c r="H40" s="46">
        <f t="shared" ca="1" si="9"/>
        <v>-7.5999999999964984E-5</v>
      </c>
      <c r="I40" s="44">
        <f t="shared" si="12"/>
        <v>4.4000000000000004</v>
      </c>
      <c r="J40" s="45">
        <f t="shared" ca="1" si="13"/>
        <v>-1.6979999999993111E-4</v>
      </c>
      <c r="K40" s="6">
        <f t="shared" si="14"/>
        <v>9</v>
      </c>
      <c r="L40" s="6">
        <f t="shared" ca="1" si="15"/>
        <v>4</v>
      </c>
      <c r="M40" s="6">
        <f t="shared" ca="1" si="16"/>
        <v>4.5</v>
      </c>
      <c r="N40" s="6">
        <f t="shared" ca="1" si="17"/>
        <v>-1.8899999999977268E-4</v>
      </c>
      <c r="O40" s="7">
        <f t="shared" ca="1" si="18"/>
        <v>-1.6499999999997073E-4</v>
      </c>
    </row>
    <row r="41" spans="3:15" ht="15" thickBot="1" x14ac:dyDescent="0.35">
      <c r="C41">
        <f t="shared" si="6"/>
        <v>0.72</v>
      </c>
      <c r="D41">
        <v>7.2</v>
      </c>
      <c r="E41" s="8"/>
      <c r="F41" s="8">
        <f t="shared" si="7"/>
        <v>-7.2</v>
      </c>
      <c r="G41" s="1">
        <f t="shared" ca="1" si="8"/>
        <v>-3.5679999999977953E-4</v>
      </c>
      <c r="H41" s="46">
        <f t="shared" ca="1" si="9"/>
        <v>7.2003567999999998</v>
      </c>
      <c r="I41" s="44">
        <f t="shared" si="12"/>
        <v>4.5999999999999996</v>
      </c>
      <c r="J41" s="45">
        <f t="shared" ca="1" si="13"/>
        <v>-1.7720000000007725E-4</v>
      </c>
      <c r="K41" s="6">
        <f t="shared" si="14"/>
        <v>10</v>
      </c>
      <c r="L41" s="6">
        <f t="shared" ca="1" si="15"/>
        <v>4.5</v>
      </c>
      <c r="M41" s="6">
        <f t="shared" ca="1" si="16"/>
        <v>5</v>
      </c>
      <c r="N41" s="6">
        <f t="shared" ca="1" si="17"/>
        <v>-1.6499999999997073E-4</v>
      </c>
      <c r="O41" s="7">
        <f t="shared" ca="1" si="18"/>
        <v>-2.2600000000050358E-4</v>
      </c>
    </row>
    <row r="42" spans="3:15" ht="15" thickBot="1" x14ac:dyDescent="0.35">
      <c r="C42">
        <f t="shared" si="6"/>
        <v>0.74</v>
      </c>
      <c r="D42">
        <v>7.4</v>
      </c>
      <c r="E42" s="8"/>
      <c r="F42" s="8">
        <f t="shared" si="7"/>
        <v>-7.4</v>
      </c>
      <c r="G42" s="1">
        <f t="shared" ca="1" si="8"/>
        <v>-3.5959999999981564E-4</v>
      </c>
      <c r="H42" s="46">
        <f t="shared" ca="1" si="9"/>
        <v>7.4003595999999998</v>
      </c>
      <c r="I42" s="44">
        <f t="shared" si="12"/>
        <v>4.8</v>
      </c>
      <c r="J42" s="45">
        <f t="shared" ca="1" si="13"/>
        <v>-2.0160000000029042E-4</v>
      </c>
      <c r="K42" s="6">
        <f t="shared" si="14"/>
        <v>10</v>
      </c>
      <c r="L42" s="6">
        <f t="shared" ca="1" si="15"/>
        <v>4.5</v>
      </c>
      <c r="M42" s="6">
        <f t="shared" ca="1" si="16"/>
        <v>5</v>
      </c>
      <c r="N42" s="6">
        <f t="shared" ca="1" si="17"/>
        <v>-1.6499999999997073E-4</v>
      </c>
      <c r="O42" s="7">
        <f t="shared" ca="1" si="18"/>
        <v>-2.2600000000050358E-4</v>
      </c>
    </row>
    <row r="43" spans="3:15" ht="15" thickBot="1" x14ac:dyDescent="0.35">
      <c r="C43">
        <f t="shared" si="6"/>
        <v>0.76</v>
      </c>
      <c r="D43">
        <v>7.6</v>
      </c>
      <c r="E43" s="8"/>
      <c r="F43" s="8">
        <f t="shared" si="7"/>
        <v>-7.6</v>
      </c>
      <c r="G43" s="1">
        <f t="shared" ca="1" si="8"/>
        <v>-3.5939999999996531E-4</v>
      </c>
      <c r="H43" s="46">
        <f t="shared" ca="1" si="9"/>
        <v>7.6003593999999994</v>
      </c>
      <c r="I43" s="44">
        <f t="shared" si="12"/>
        <v>5</v>
      </c>
      <c r="J43" s="45">
        <f t="shared" ca="1" si="13"/>
        <v>-2.2600000000050358E-4</v>
      </c>
      <c r="K43" s="6">
        <f t="shared" si="14"/>
        <v>10</v>
      </c>
      <c r="L43" s="6">
        <f t="shared" ca="1" si="15"/>
        <v>4.5</v>
      </c>
      <c r="M43" s="6">
        <f t="shared" ca="1" si="16"/>
        <v>5</v>
      </c>
      <c r="N43" s="6">
        <f t="shared" ca="1" si="17"/>
        <v>-1.6499999999997073E-4</v>
      </c>
      <c r="O43" s="7">
        <f t="shared" ca="1" si="18"/>
        <v>-2.2600000000050358E-4</v>
      </c>
    </row>
    <row r="44" spans="3:15" ht="15" thickBot="1" x14ac:dyDescent="0.35">
      <c r="C44">
        <f t="shared" si="6"/>
        <v>0.78</v>
      </c>
      <c r="D44">
        <v>7.8</v>
      </c>
      <c r="E44" s="8"/>
      <c r="F44" s="8">
        <f t="shared" si="7"/>
        <v>-7.8</v>
      </c>
      <c r="G44" s="1">
        <f t="shared" ca="1" si="8"/>
        <v>-3.5620000000022853E-4</v>
      </c>
      <c r="H44" s="46">
        <f t="shared" ca="1" si="9"/>
        <v>7.8003562000000004</v>
      </c>
      <c r="I44" s="44">
        <f t="shared" si="12"/>
        <v>5.2</v>
      </c>
      <c r="J44" s="45">
        <f t="shared" ca="1" si="13"/>
        <v>-2.344000000006119E-4</v>
      </c>
      <c r="K44" s="6">
        <f t="shared" si="14"/>
        <v>11</v>
      </c>
      <c r="L44" s="6">
        <f t="shared" ca="1" si="15"/>
        <v>5</v>
      </c>
      <c r="M44" s="6">
        <f t="shared" ca="1" si="16"/>
        <v>5.5</v>
      </c>
      <c r="N44" s="6">
        <f t="shared" ca="1" si="17"/>
        <v>-2.2600000000050358E-4</v>
      </c>
      <c r="O44" s="7">
        <f t="shared" ca="1" si="18"/>
        <v>-2.4700000000077438E-4</v>
      </c>
    </row>
    <row r="45" spans="3:15" ht="15" thickBot="1" x14ac:dyDescent="0.35">
      <c r="C45">
        <f t="shared" si="6"/>
        <v>0.8</v>
      </c>
      <c r="D45">
        <v>8</v>
      </c>
      <c r="E45" s="8">
        <v>8.0006799999999991</v>
      </c>
      <c r="F45" s="8">
        <f t="shared" si="7"/>
        <v>6.7999999999912575E-4</v>
      </c>
      <c r="G45" s="1">
        <f t="shared" ca="1" si="8"/>
        <v>-3.5300000000049181E-4</v>
      </c>
      <c r="H45" s="46">
        <f t="shared" ca="1" si="9"/>
        <v>-3.2699999999863394E-4</v>
      </c>
      <c r="I45" s="44">
        <f t="shared" si="12"/>
        <v>5.4</v>
      </c>
      <c r="J45" s="45">
        <f t="shared" ca="1" si="13"/>
        <v>-2.4280000000072023E-4</v>
      </c>
      <c r="K45" s="6">
        <f t="shared" si="14"/>
        <v>11</v>
      </c>
      <c r="L45" s="6">
        <f t="shared" ca="1" si="15"/>
        <v>5</v>
      </c>
      <c r="M45" s="6">
        <f t="shared" ca="1" si="16"/>
        <v>5.5</v>
      </c>
      <c r="N45" s="6">
        <f t="shared" ca="1" si="17"/>
        <v>-2.2600000000050358E-4</v>
      </c>
      <c r="O45" s="7">
        <f t="shared" ca="1" si="18"/>
        <v>-2.4700000000077438E-4</v>
      </c>
    </row>
    <row r="46" spans="3:15" ht="15" thickBot="1" x14ac:dyDescent="0.35">
      <c r="C46">
        <f t="shared" si="6"/>
        <v>0.82</v>
      </c>
      <c r="D46">
        <v>8.1999999999999993</v>
      </c>
      <c r="E46" s="8"/>
      <c r="F46" s="8">
        <f t="shared" si="7"/>
        <v>-8.1999999999999993</v>
      </c>
      <c r="G46" s="1">
        <f t="shared" ca="1" si="8"/>
        <v>-3.6182500000050407E-4</v>
      </c>
      <c r="H46" s="46">
        <f ca="1">-(F46+G6)</f>
        <v>8.2000104</v>
      </c>
      <c r="I46" s="44">
        <f t="shared" si="12"/>
        <v>5.6</v>
      </c>
      <c r="J46" s="45">
        <f t="shared" ca="1" si="13"/>
        <v>-2.4540000000055072E-4</v>
      </c>
      <c r="K46" s="6">
        <f t="shared" si="14"/>
        <v>12</v>
      </c>
      <c r="L46" s="6">
        <f t="shared" ca="1" si="15"/>
        <v>5.5</v>
      </c>
      <c r="M46" s="6">
        <f t="shared" ca="1" si="16"/>
        <v>6</v>
      </c>
      <c r="N46" s="6">
        <f t="shared" ca="1" si="17"/>
        <v>-2.4700000000077438E-4</v>
      </c>
      <c r="O46" s="7">
        <f t="shared" ca="1" si="18"/>
        <v>-2.3899999999965615E-4</v>
      </c>
    </row>
    <row r="47" spans="3:15" ht="15" thickBot="1" x14ac:dyDescent="0.35">
      <c r="C47">
        <f t="shared" si="6"/>
        <v>0.84000000000000008</v>
      </c>
      <c r="D47">
        <v>8.4</v>
      </c>
      <c r="E47" s="8"/>
      <c r="F47" s="8">
        <f t="shared" si="7"/>
        <v>-8.4</v>
      </c>
      <c r="G47" s="1">
        <f t="shared" ca="1" si="8"/>
        <v>-3.7065000000051644E-4</v>
      </c>
      <c r="H47" s="46">
        <f t="shared" ref="H47:H65" ca="1" si="19">-(F47+G7)</f>
        <v>8.4000208000000001</v>
      </c>
      <c r="I47" s="44">
        <f t="shared" si="12"/>
        <v>5.8</v>
      </c>
      <c r="J47" s="45">
        <f t="shared" ca="1" si="13"/>
        <v>-2.4220000000010344E-4</v>
      </c>
      <c r="K47" s="6">
        <f t="shared" si="14"/>
        <v>12</v>
      </c>
      <c r="L47" s="6">
        <f t="shared" ca="1" si="15"/>
        <v>5.5</v>
      </c>
      <c r="M47" s="6">
        <f t="shared" ca="1" si="16"/>
        <v>6</v>
      </c>
      <c r="N47" s="6">
        <f t="shared" ca="1" si="17"/>
        <v>-2.4700000000077438E-4</v>
      </c>
      <c r="O47" s="7">
        <f t="shared" ca="1" si="18"/>
        <v>-2.3899999999965615E-4</v>
      </c>
    </row>
    <row r="48" spans="3:15" ht="15" thickBot="1" x14ac:dyDescent="0.35">
      <c r="C48">
        <f t="shared" si="6"/>
        <v>0.86</v>
      </c>
      <c r="D48">
        <v>8.6</v>
      </c>
      <c r="E48" s="8"/>
      <c r="F48" s="8">
        <f t="shared" si="7"/>
        <v>-8.6</v>
      </c>
      <c r="G48" s="1">
        <f t="shared" ca="1" si="8"/>
        <v>-3.7947500000052865E-4</v>
      </c>
      <c r="H48" s="46">
        <f t="shared" ca="1" si="19"/>
        <v>8.6000119999999995</v>
      </c>
      <c r="I48" s="44">
        <f t="shared" si="12"/>
        <v>6</v>
      </c>
      <c r="J48" s="45">
        <f t="shared" ca="1" si="13"/>
        <v>-2.3899999999965615E-4</v>
      </c>
      <c r="K48" s="6">
        <f t="shared" si="14"/>
        <v>12</v>
      </c>
      <c r="L48" s="6">
        <f t="shared" ca="1" si="15"/>
        <v>5.5</v>
      </c>
      <c r="M48" s="6">
        <f t="shared" ca="1" si="16"/>
        <v>6</v>
      </c>
      <c r="N48" s="6">
        <f t="shared" ca="1" si="17"/>
        <v>-2.4700000000077438E-4</v>
      </c>
      <c r="O48" s="7">
        <f t="shared" ca="1" si="18"/>
        <v>-2.3899999999965615E-4</v>
      </c>
    </row>
    <row r="49" spans="2:15" ht="15" thickBot="1" x14ac:dyDescent="0.35">
      <c r="C49">
        <f t="shared" si="6"/>
        <v>0.88000000000000012</v>
      </c>
      <c r="D49">
        <v>8.8000000000000007</v>
      </c>
      <c r="E49" s="8"/>
      <c r="F49" s="8">
        <f t="shared" si="7"/>
        <v>-8.8000000000000007</v>
      </c>
      <c r="G49" s="1">
        <f t="shared" ca="1" si="8"/>
        <v>-3.8830000000054102E-4</v>
      </c>
      <c r="H49" s="46">
        <f t="shared" ca="1" si="19"/>
        <v>8.7999840000000003</v>
      </c>
      <c r="I49" s="44">
        <f t="shared" si="12"/>
        <v>6.2</v>
      </c>
      <c r="J49" s="45">
        <f t="shared" ca="1" si="13"/>
        <v>-2.225999999998507E-4</v>
      </c>
      <c r="K49" s="6">
        <f t="shared" si="14"/>
        <v>13</v>
      </c>
      <c r="L49" s="6">
        <f t="shared" ca="1" si="15"/>
        <v>6</v>
      </c>
      <c r="M49" s="6">
        <f t="shared" ca="1" si="16"/>
        <v>6.5</v>
      </c>
      <c r="N49" s="6">
        <f t="shared" ca="1" si="17"/>
        <v>-2.3899999999965615E-4</v>
      </c>
      <c r="O49" s="7">
        <f t="shared" ca="1" si="18"/>
        <v>-1.9800000000014251E-4</v>
      </c>
    </row>
    <row r="50" spans="2:15" ht="15" thickBot="1" x14ac:dyDescent="0.35">
      <c r="B50">
        <v>0.99988999999999995</v>
      </c>
      <c r="C50">
        <f t="shared" si="6"/>
        <v>0.9</v>
      </c>
      <c r="D50">
        <v>9</v>
      </c>
      <c r="E50" s="8">
        <f>E45+B50</f>
        <v>9.0005699999999997</v>
      </c>
      <c r="F50" s="8">
        <f t="shared" si="7"/>
        <v>5.6999999999973738E-4</v>
      </c>
      <c r="G50" s="1">
        <f t="shared" ca="1" si="8"/>
        <v>-3.9712500000055329E-4</v>
      </c>
      <c r="H50" s="46">
        <f t="shared" ca="1" si="19"/>
        <v>-6.1399999999967037E-4</v>
      </c>
      <c r="I50" s="44">
        <f t="shared" si="12"/>
        <v>6.4</v>
      </c>
      <c r="J50" s="45">
        <f t="shared" ca="1" si="13"/>
        <v>-2.0620000000004521E-4</v>
      </c>
      <c r="K50" s="6">
        <f t="shared" si="14"/>
        <v>13</v>
      </c>
      <c r="L50" s="6">
        <f t="shared" ca="1" si="15"/>
        <v>6</v>
      </c>
      <c r="M50" s="6">
        <f t="shared" ca="1" si="16"/>
        <v>6.5</v>
      </c>
      <c r="N50" s="6">
        <f t="shared" ca="1" si="17"/>
        <v>-2.3899999999965615E-4</v>
      </c>
      <c r="O50" s="7">
        <f t="shared" ca="1" si="18"/>
        <v>-1.9800000000014251E-4</v>
      </c>
    </row>
    <row r="51" spans="2:15" ht="15" thickBot="1" x14ac:dyDescent="0.35">
      <c r="C51">
        <f t="shared" si="6"/>
        <v>0.91999999999999993</v>
      </c>
      <c r="D51">
        <v>9.1999999999999993</v>
      </c>
      <c r="E51" s="8"/>
      <c r="F51" s="8">
        <f t="shared" si="7"/>
        <v>-9.1999999999999993</v>
      </c>
      <c r="G51" s="1">
        <f t="shared" ca="1" si="8"/>
        <v>-4.0595000000056555E-4</v>
      </c>
      <c r="H51" s="46">
        <f t="shared" ca="1" si="19"/>
        <v>9.1999919999999999</v>
      </c>
      <c r="I51" s="44">
        <f t="shared" si="12"/>
        <v>6.6</v>
      </c>
      <c r="J51" s="45">
        <f t="shared" ca="1" si="13"/>
        <v>-2.2920000000006257E-4</v>
      </c>
      <c r="K51" s="6">
        <f t="shared" si="14"/>
        <v>14</v>
      </c>
      <c r="L51" s="6">
        <f t="shared" ca="1" si="15"/>
        <v>6.5</v>
      </c>
      <c r="M51" s="6">
        <f t="shared" ca="1" si="16"/>
        <v>7</v>
      </c>
      <c r="N51" s="6">
        <f t="shared" ca="1" si="17"/>
        <v>-1.9800000000014251E-4</v>
      </c>
      <c r="O51" s="7">
        <f t="shared" ca="1" si="18"/>
        <v>-3.5399999999974341E-4</v>
      </c>
    </row>
    <row r="52" spans="2:15" ht="15" thickBot="1" x14ac:dyDescent="0.35">
      <c r="C52">
        <f t="shared" si="6"/>
        <v>0.94000000000000006</v>
      </c>
      <c r="D52">
        <v>9.4</v>
      </c>
      <c r="E52" s="8"/>
      <c r="F52" s="8">
        <f t="shared" si="7"/>
        <v>-9.4</v>
      </c>
      <c r="G52" s="1">
        <f t="shared" ca="1" si="8"/>
        <v>-4.1477500000057792E-4</v>
      </c>
      <c r="H52" s="46">
        <f t="shared" ca="1" si="19"/>
        <v>9.4000280000000007</v>
      </c>
      <c r="I52" s="44">
        <f t="shared" si="12"/>
        <v>6.8</v>
      </c>
      <c r="J52" s="45">
        <f t="shared" ca="1" si="13"/>
        <v>-2.91599999999903E-4</v>
      </c>
      <c r="K52" s="6">
        <f t="shared" si="14"/>
        <v>14</v>
      </c>
      <c r="L52" s="6">
        <f t="shared" ca="1" si="15"/>
        <v>6.5</v>
      </c>
      <c r="M52" s="6">
        <f t="shared" ca="1" si="16"/>
        <v>7</v>
      </c>
      <c r="N52" s="6">
        <f t="shared" ca="1" si="17"/>
        <v>-1.9800000000014251E-4</v>
      </c>
      <c r="O52" s="7">
        <f t="shared" ca="1" si="18"/>
        <v>-3.5399999999974341E-4</v>
      </c>
    </row>
    <row r="53" spans="2:15" ht="15" thickBot="1" x14ac:dyDescent="0.35">
      <c r="C53">
        <f t="shared" si="6"/>
        <v>0.96</v>
      </c>
      <c r="D53">
        <v>9.6</v>
      </c>
      <c r="E53" s="8"/>
      <c r="F53" s="8">
        <f t="shared" si="7"/>
        <v>-9.6</v>
      </c>
      <c r="G53" s="1">
        <f t="shared" ca="1" si="8"/>
        <v>-4.2360000000059013E-4</v>
      </c>
      <c r="H53" s="46">
        <f t="shared" ca="1" si="19"/>
        <v>9.6000403999999993</v>
      </c>
      <c r="I53" s="44">
        <f t="shared" si="12"/>
        <v>7</v>
      </c>
      <c r="J53" s="45">
        <f t="shared" ca="1" si="13"/>
        <v>-3.5399999999974341E-4</v>
      </c>
      <c r="K53" s="6">
        <f t="shared" si="14"/>
        <v>14</v>
      </c>
      <c r="L53" s="6">
        <f t="shared" ca="1" si="15"/>
        <v>6.5</v>
      </c>
      <c r="M53" s="6">
        <f t="shared" ca="1" si="16"/>
        <v>7</v>
      </c>
      <c r="N53" s="6">
        <f t="shared" ca="1" si="17"/>
        <v>-1.9800000000014251E-4</v>
      </c>
      <c r="O53" s="7">
        <f t="shared" ca="1" si="18"/>
        <v>-3.5399999999974341E-4</v>
      </c>
    </row>
    <row r="54" spans="2:15" ht="15" thickBot="1" x14ac:dyDescent="0.35">
      <c r="C54">
        <f t="shared" si="6"/>
        <v>0.98000000000000009</v>
      </c>
      <c r="D54">
        <v>9.8000000000000007</v>
      </c>
      <c r="E54" s="8"/>
      <c r="F54" s="8">
        <f t="shared" si="7"/>
        <v>-9.8000000000000007</v>
      </c>
      <c r="G54" s="1">
        <f t="shared" ca="1" si="8"/>
        <v>-4.324250000006025E-4</v>
      </c>
      <c r="H54" s="46">
        <f t="shared" ca="1" si="19"/>
        <v>9.8000292000000009</v>
      </c>
      <c r="I54" s="44">
        <f t="shared" si="12"/>
        <v>7.2</v>
      </c>
      <c r="J54" s="45">
        <f t="shared" ca="1" si="13"/>
        <v>-3.5679999999977953E-4</v>
      </c>
      <c r="K54" s="6">
        <f t="shared" si="14"/>
        <v>15</v>
      </c>
      <c r="L54" s="6">
        <f t="shared" ca="1" si="15"/>
        <v>7</v>
      </c>
      <c r="M54" s="6">
        <f t="shared" ca="1" si="16"/>
        <v>7.5</v>
      </c>
      <c r="N54" s="6">
        <f t="shared" ca="1" si="17"/>
        <v>-3.5399999999974341E-4</v>
      </c>
      <c r="O54" s="7">
        <f t="shared" ca="1" si="18"/>
        <v>-3.6099999999983368E-4</v>
      </c>
    </row>
    <row r="55" spans="2:15" ht="15" thickBot="1" x14ac:dyDescent="0.35">
      <c r="B55">
        <v>2.00021</v>
      </c>
      <c r="C55">
        <f t="shared" si="6"/>
        <v>1</v>
      </c>
      <c r="D55">
        <v>10</v>
      </c>
      <c r="E55" s="8">
        <f>$E$45+B55</f>
        <v>10.000889999999998</v>
      </c>
      <c r="F55" s="8">
        <f t="shared" si="7"/>
        <v>8.8999999999828106E-4</v>
      </c>
      <c r="G55" s="1">
        <f t="shared" ca="1" si="8"/>
        <v>-4.4125000000061476E-4</v>
      </c>
      <c r="H55" s="46">
        <f t="shared" ca="1" si="19"/>
        <v>-8.719999999979855E-4</v>
      </c>
      <c r="I55" s="44">
        <f t="shared" si="12"/>
        <v>7.4</v>
      </c>
      <c r="J55" s="45">
        <f t="shared" ca="1" si="13"/>
        <v>-3.5959999999981564E-4</v>
      </c>
      <c r="K55" s="6">
        <f t="shared" si="14"/>
        <v>15</v>
      </c>
      <c r="L55" s="6">
        <f t="shared" ca="1" si="15"/>
        <v>7</v>
      </c>
      <c r="M55" s="6">
        <f t="shared" ca="1" si="16"/>
        <v>7.5</v>
      </c>
      <c r="N55" s="6">
        <f t="shared" ca="1" si="17"/>
        <v>-3.5399999999974341E-4</v>
      </c>
      <c r="O55" s="7">
        <f t="shared" ca="1" si="18"/>
        <v>-3.6099999999983368E-4</v>
      </c>
    </row>
    <row r="56" spans="2:15" ht="15" thickBot="1" x14ac:dyDescent="0.35">
      <c r="C56">
        <f t="shared" si="6"/>
        <v>1.02</v>
      </c>
      <c r="D56">
        <v>10.199999999999999</v>
      </c>
      <c r="E56" s="8"/>
      <c r="F56" s="8">
        <f t="shared" si="7"/>
        <v>-10.199999999999999</v>
      </c>
      <c r="G56" s="1">
        <f t="shared" ca="1" si="8"/>
        <v>-4.5007500000062702E-4</v>
      </c>
      <c r="H56" s="46">
        <f t="shared" ca="1" si="19"/>
        <v>10.2000324</v>
      </c>
      <c r="I56" s="44">
        <f t="shared" si="12"/>
        <v>7.6</v>
      </c>
      <c r="J56" s="45">
        <f t="shared" ca="1" si="13"/>
        <v>-3.5939999999996531E-4</v>
      </c>
      <c r="K56" s="6">
        <f t="shared" si="14"/>
        <v>16</v>
      </c>
      <c r="L56" s="6">
        <f t="shared" ca="1" si="15"/>
        <v>7.5</v>
      </c>
      <c r="M56" s="6">
        <f t="shared" ca="1" si="16"/>
        <v>8</v>
      </c>
      <c r="N56" s="6">
        <f t="shared" ca="1" si="17"/>
        <v>-3.6099999999983368E-4</v>
      </c>
      <c r="O56" s="7">
        <f t="shared" ca="1" si="18"/>
        <v>-3.5300000000049181E-4</v>
      </c>
    </row>
    <row r="57" spans="2:15" ht="15" thickBot="1" x14ac:dyDescent="0.35">
      <c r="C57">
        <f t="shared" si="6"/>
        <v>1.04</v>
      </c>
      <c r="D57">
        <v>10.4</v>
      </c>
      <c r="E57" s="8"/>
      <c r="F57" s="8">
        <f t="shared" si="7"/>
        <v>-10.4</v>
      </c>
      <c r="G57" s="1">
        <f t="shared" ca="1" si="8"/>
        <v>-4.589000000006394E-4</v>
      </c>
      <c r="H57" s="46">
        <f t="shared" ca="1" si="19"/>
        <v>10.4000468</v>
      </c>
      <c r="I57" s="44">
        <f t="shared" si="12"/>
        <v>7.8</v>
      </c>
      <c r="J57" s="45">
        <f t="shared" ca="1" si="13"/>
        <v>-3.5620000000022853E-4</v>
      </c>
      <c r="K57" s="6">
        <f t="shared" si="14"/>
        <v>16</v>
      </c>
      <c r="L57" s="6">
        <f t="shared" ca="1" si="15"/>
        <v>7.5</v>
      </c>
      <c r="M57" s="6">
        <f t="shared" ca="1" si="16"/>
        <v>8</v>
      </c>
      <c r="N57" s="6">
        <f t="shared" ca="1" si="17"/>
        <v>-3.6099999999983368E-4</v>
      </c>
      <c r="O57" s="7">
        <f t="shared" ca="1" si="18"/>
        <v>-3.5300000000049181E-4</v>
      </c>
    </row>
    <row r="58" spans="2:15" ht="15" thickBot="1" x14ac:dyDescent="0.35">
      <c r="C58">
        <f t="shared" si="6"/>
        <v>1.06</v>
      </c>
      <c r="D58">
        <v>10.6</v>
      </c>
      <c r="E58" s="8"/>
      <c r="F58" s="8">
        <f t="shared" si="7"/>
        <v>-10.6</v>
      </c>
      <c r="G58" s="1">
        <f t="shared" ca="1" si="8"/>
        <v>-4.677250000006516E-4</v>
      </c>
      <c r="H58" s="46">
        <f t="shared" ca="1" si="19"/>
        <v>10.6000616</v>
      </c>
      <c r="I58" s="44">
        <f t="shared" si="12"/>
        <v>8</v>
      </c>
      <c r="J58" s="45">
        <f t="shared" ca="1" si="13"/>
        <v>-3.5300000000049181E-4</v>
      </c>
      <c r="K58" s="6">
        <f t="shared" si="14"/>
        <v>16</v>
      </c>
      <c r="L58" s="6">
        <f t="shared" ca="1" si="15"/>
        <v>7.5</v>
      </c>
      <c r="M58" s="6">
        <f t="shared" ca="1" si="16"/>
        <v>8</v>
      </c>
      <c r="N58" s="6">
        <f t="shared" ca="1" si="17"/>
        <v>-3.6099999999983368E-4</v>
      </c>
      <c r="O58" s="7">
        <f t="shared" ca="1" si="18"/>
        <v>-3.5300000000049181E-4</v>
      </c>
    </row>
    <row r="59" spans="2:15" ht="15" thickBot="1" x14ac:dyDescent="0.35">
      <c r="C59">
        <f t="shared" si="6"/>
        <v>1.08</v>
      </c>
      <c r="D59">
        <v>10.8</v>
      </c>
      <c r="E59" s="8"/>
      <c r="F59" s="8">
        <f t="shared" si="7"/>
        <v>-10.8</v>
      </c>
      <c r="G59" s="1">
        <f t="shared" ca="1" si="8"/>
        <v>-4.7655000000066398E-4</v>
      </c>
      <c r="H59" s="46">
        <f t="shared" ca="1" si="19"/>
        <v>10.800076800000001</v>
      </c>
      <c r="I59" s="44">
        <f t="shared" si="12"/>
        <v>8.1999999999999993</v>
      </c>
      <c r="J59" s="45">
        <f t="shared" ca="1" si="13"/>
        <v>-3.6182500000050407E-4</v>
      </c>
      <c r="K59" s="6">
        <f t="shared" si="14"/>
        <v>17</v>
      </c>
      <c r="L59" s="6">
        <f t="shared" ca="1" si="15"/>
        <v>8</v>
      </c>
      <c r="M59" s="6">
        <f t="shared" ca="1" si="16"/>
        <v>0</v>
      </c>
      <c r="N59" s="6">
        <f t="shared" ca="1" si="17"/>
        <v>-3.5300000000049181E-4</v>
      </c>
      <c r="O59" s="7">
        <f t="shared" ca="1" si="18"/>
        <v>0</v>
      </c>
    </row>
    <row r="60" spans="2:15" ht="15" thickBot="1" x14ac:dyDescent="0.35">
      <c r="B60">
        <v>2.9997799999999999</v>
      </c>
      <c r="C60">
        <f t="shared" si="6"/>
        <v>1.1000000000000001</v>
      </c>
      <c r="D60">
        <v>11</v>
      </c>
      <c r="E60" s="8">
        <f>$E$45+B60</f>
        <v>11.000459999999999</v>
      </c>
      <c r="F60" s="8">
        <f t="shared" si="7"/>
        <v>4.5999999999857266E-4</v>
      </c>
      <c r="G60" s="1">
        <f t="shared" ca="1" si="8"/>
        <v>-4.8537500000067624E-4</v>
      </c>
      <c r="H60" s="46">
        <f t="shared" ca="1" si="19"/>
        <v>-3.6799999999859168E-4</v>
      </c>
      <c r="I60" s="44">
        <f t="shared" si="12"/>
        <v>8.4</v>
      </c>
      <c r="J60" s="45">
        <f t="shared" ca="1" si="13"/>
        <v>-3.7065000000051644E-4</v>
      </c>
      <c r="K60" s="6">
        <f t="shared" si="14"/>
        <v>17</v>
      </c>
      <c r="L60" s="6">
        <f t="shared" ca="1" si="15"/>
        <v>8</v>
      </c>
      <c r="M60" s="6">
        <f t="shared" ca="1" si="16"/>
        <v>0</v>
      </c>
      <c r="N60" s="6">
        <f t="shared" ca="1" si="17"/>
        <v>-3.5300000000049181E-4</v>
      </c>
      <c r="O60" s="7">
        <f t="shared" ca="1" si="18"/>
        <v>0</v>
      </c>
    </row>
    <row r="61" spans="2:15" ht="15" thickBot="1" x14ac:dyDescent="0.35">
      <c r="C61">
        <f t="shared" si="6"/>
        <v>1.1199999999999999</v>
      </c>
      <c r="D61">
        <v>11.2</v>
      </c>
      <c r="E61" s="8"/>
      <c r="F61" s="8">
        <f t="shared" si="7"/>
        <v>-11.2</v>
      </c>
      <c r="G61" s="1">
        <f t="shared" ca="1" si="8"/>
        <v>-4.9420000000068845E-4</v>
      </c>
      <c r="H61" s="46">
        <f t="shared" ca="1" si="19"/>
        <v>11.200112799999999</v>
      </c>
      <c r="I61" s="44">
        <f t="shared" si="12"/>
        <v>8.6</v>
      </c>
      <c r="J61" s="45">
        <f t="shared" ca="1" si="13"/>
        <v>-3.7947500000052865E-4</v>
      </c>
      <c r="K61" s="6">
        <f t="shared" si="14"/>
        <v>17</v>
      </c>
      <c r="L61" s="6">
        <f t="shared" ca="1" si="15"/>
        <v>8</v>
      </c>
      <c r="M61" s="6">
        <f t="shared" ca="1" si="16"/>
        <v>0</v>
      </c>
      <c r="N61" s="6">
        <f t="shared" ca="1" si="17"/>
        <v>-3.5300000000049181E-4</v>
      </c>
      <c r="O61" s="7">
        <f t="shared" ca="1" si="18"/>
        <v>0</v>
      </c>
    </row>
    <row r="62" spans="2:15" ht="15" thickBot="1" x14ac:dyDescent="0.35">
      <c r="C62">
        <f t="shared" si="6"/>
        <v>1.1400000000000001</v>
      </c>
      <c r="D62">
        <v>11.4</v>
      </c>
      <c r="E62" s="8"/>
      <c r="F62" s="8">
        <f t="shared" si="7"/>
        <v>-11.4</v>
      </c>
      <c r="G62" s="1">
        <f t="shared" ca="1" si="8"/>
        <v>-5.0302500000070087E-4</v>
      </c>
      <c r="H62" s="46">
        <f t="shared" ca="1" si="19"/>
        <v>11.4001336</v>
      </c>
      <c r="I62" s="44">
        <f t="shared" si="12"/>
        <v>8.8000000000000007</v>
      </c>
      <c r="J62" s="45">
        <f t="shared" ca="1" si="13"/>
        <v>-3.8830000000054102E-4</v>
      </c>
      <c r="K62" s="6">
        <f t="shared" si="14"/>
        <v>17</v>
      </c>
      <c r="L62" s="6">
        <f t="shared" ca="1" si="15"/>
        <v>8</v>
      </c>
      <c r="M62" s="6">
        <f t="shared" ca="1" si="16"/>
        <v>0</v>
      </c>
      <c r="N62" s="6">
        <f t="shared" ca="1" si="17"/>
        <v>-3.5300000000049181E-4</v>
      </c>
      <c r="O62" s="7">
        <f t="shared" ca="1" si="18"/>
        <v>0</v>
      </c>
    </row>
    <row r="63" spans="2:15" ht="15" thickBot="1" x14ac:dyDescent="0.35">
      <c r="C63">
        <f t="shared" si="6"/>
        <v>1.1599999999999999</v>
      </c>
      <c r="D63">
        <v>11.6</v>
      </c>
      <c r="E63" s="8"/>
      <c r="F63" s="8">
        <f t="shared" si="7"/>
        <v>-11.6</v>
      </c>
      <c r="G63" s="1">
        <f t="shared" ca="1" si="8"/>
        <v>-5.1185000000071308E-4</v>
      </c>
      <c r="H63" s="46">
        <f t="shared" ca="1" si="19"/>
        <v>11.600152999999999</v>
      </c>
      <c r="I63" s="44">
        <f t="shared" si="12"/>
        <v>9</v>
      </c>
      <c r="J63" s="45">
        <f t="shared" ca="1" si="13"/>
        <v>-3.9712500000055329E-4</v>
      </c>
      <c r="K63" s="6">
        <f t="shared" si="14"/>
        <v>17</v>
      </c>
      <c r="L63" s="6">
        <f t="shared" ca="1" si="15"/>
        <v>8</v>
      </c>
      <c r="M63" s="6">
        <f t="shared" ca="1" si="16"/>
        <v>0</v>
      </c>
      <c r="N63" s="6">
        <f t="shared" ca="1" si="17"/>
        <v>-3.5300000000049181E-4</v>
      </c>
      <c r="O63" s="7">
        <f t="shared" ca="1" si="18"/>
        <v>0</v>
      </c>
    </row>
    <row r="64" spans="2:15" ht="15" thickBot="1" x14ac:dyDescent="0.35">
      <c r="C64">
        <f t="shared" si="6"/>
        <v>1.1800000000000002</v>
      </c>
      <c r="D64">
        <v>11.8</v>
      </c>
      <c r="E64" s="8"/>
      <c r="F64" s="8">
        <f t="shared" si="7"/>
        <v>-11.8</v>
      </c>
      <c r="G64" s="1">
        <f t="shared" ca="1" si="8"/>
        <v>-5.2067500000072551E-4</v>
      </c>
      <c r="H64" s="46">
        <f t="shared" ca="1" si="19"/>
        <v>11.800171000000001</v>
      </c>
      <c r="I64" s="44">
        <f t="shared" si="12"/>
        <v>9.1999999999999993</v>
      </c>
      <c r="J64" s="45">
        <f t="shared" ca="1" si="13"/>
        <v>-4.0595000000056555E-4</v>
      </c>
      <c r="K64" s="6">
        <f t="shared" si="14"/>
        <v>17</v>
      </c>
      <c r="L64" s="6">
        <f t="shared" ca="1" si="15"/>
        <v>8</v>
      </c>
      <c r="M64" s="6">
        <f t="shared" ca="1" si="16"/>
        <v>0</v>
      </c>
      <c r="N64" s="6">
        <f t="shared" ca="1" si="17"/>
        <v>-3.5300000000049181E-4</v>
      </c>
      <c r="O64" s="7">
        <f t="shared" ca="1" si="18"/>
        <v>0</v>
      </c>
    </row>
    <row r="65" spans="2:15" ht="15" thickBot="1" x14ac:dyDescent="0.35">
      <c r="B65">
        <v>4.0002199999999997</v>
      </c>
      <c r="C65">
        <f t="shared" si="6"/>
        <v>1.2</v>
      </c>
      <c r="D65">
        <v>12</v>
      </c>
      <c r="E65" s="8">
        <f>$E$45+B65</f>
        <v>12.000899999999998</v>
      </c>
      <c r="F65" s="8">
        <f t="shared" si="7"/>
        <v>8.9999999999790248E-4</v>
      </c>
      <c r="G65" s="1">
        <f t="shared" ca="1" si="8"/>
        <v>-5.2950000000073771E-4</v>
      </c>
      <c r="H65" s="46">
        <f t="shared" ca="1" si="19"/>
        <v>-7.1099999999812979E-4</v>
      </c>
      <c r="I65" s="44">
        <f t="shared" si="12"/>
        <v>9.4</v>
      </c>
      <c r="J65" s="45">
        <f t="shared" ca="1" si="13"/>
        <v>-4.1477500000057792E-4</v>
      </c>
      <c r="K65" s="6">
        <f t="shared" si="14"/>
        <v>17</v>
      </c>
      <c r="L65" s="6">
        <f t="shared" ca="1" si="15"/>
        <v>8</v>
      </c>
      <c r="M65" s="6">
        <f t="shared" ca="1" si="16"/>
        <v>0</v>
      </c>
      <c r="N65" s="6">
        <f t="shared" ca="1" si="17"/>
        <v>-3.5300000000049181E-4</v>
      </c>
      <c r="O65" s="7">
        <f t="shared" ca="1" si="18"/>
        <v>0</v>
      </c>
    </row>
    <row r="66" spans="2:15" ht="15" thickBot="1" x14ac:dyDescent="0.35">
      <c r="I66" s="44">
        <f t="shared" si="12"/>
        <v>9.6</v>
      </c>
      <c r="J66" s="45">
        <f t="shared" ca="1" si="13"/>
        <v>-4.2360000000059013E-4</v>
      </c>
      <c r="K66" s="6">
        <f t="shared" si="14"/>
        <v>17</v>
      </c>
      <c r="L66" s="6">
        <f t="shared" ca="1" si="15"/>
        <v>8</v>
      </c>
      <c r="M66" s="6">
        <f t="shared" ca="1" si="16"/>
        <v>0</v>
      </c>
      <c r="N66" s="6">
        <f t="shared" ca="1" si="17"/>
        <v>-3.5300000000049181E-4</v>
      </c>
      <c r="O66" s="7">
        <f t="shared" ca="1" si="18"/>
        <v>0</v>
      </c>
    </row>
    <row r="67" spans="2:15" ht="15" thickBot="1" x14ac:dyDescent="0.35">
      <c r="I67" s="44">
        <f t="shared" si="12"/>
        <v>9.8000000000000007</v>
      </c>
      <c r="J67" s="45">
        <f t="shared" ca="1" si="13"/>
        <v>-4.324250000006025E-4</v>
      </c>
      <c r="K67" s="6">
        <f t="shared" si="14"/>
        <v>17</v>
      </c>
      <c r="L67" s="6">
        <f t="shared" ca="1" si="15"/>
        <v>8</v>
      </c>
      <c r="M67" s="6">
        <f t="shared" ca="1" si="16"/>
        <v>0</v>
      </c>
      <c r="N67" s="6">
        <f t="shared" ca="1" si="17"/>
        <v>-3.5300000000049181E-4</v>
      </c>
      <c r="O67" s="7">
        <f t="shared" ca="1" si="18"/>
        <v>0</v>
      </c>
    </row>
    <row r="68" spans="2:15" ht="15" thickBot="1" x14ac:dyDescent="0.35">
      <c r="I68" s="44">
        <f t="shared" si="12"/>
        <v>10</v>
      </c>
      <c r="J68" s="45">
        <f t="shared" ca="1" si="13"/>
        <v>-4.4125000000061476E-4</v>
      </c>
      <c r="K68" s="6">
        <f t="shared" si="14"/>
        <v>17</v>
      </c>
      <c r="L68" s="6">
        <f t="shared" ca="1" si="15"/>
        <v>8</v>
      </c>
      <c r="M68" s="6">
        <f t="shared" ca="1" si="16"/>
        <v>0</v>
      </c>
      <c r="N68" s="6">
        <f t="shared" ca="1" si="17"/>
        <v>-3.5300000000049181E-4</v>
      </c>
      <c r="O68" s="7">
        <f t="shared" ca="1" si="18"/>
        <v>0</v>
      </c>
    </row>
    <row r="69" spans="2:15" ht="15" thickBot="1" x14ac:dyDescent="0.35">
      <c r="I69" s="44">
        <f t="shared" si="12"/>
        <v>10.199999999999999</v>
      </c>
      <c r="J69" s="45">
        <f t="shared" ca="1" si="13"/>
        <v>-4.5007500000062702E-4</v>
      </c>
      <c r="K69" s="6">
        <f t="shared" si="14"/>
        <v>17</v>
      </c>
      <c r="L69" s="6">
        <f t="shared" ca="1" si="15"/>
        <v>8</v>
      </c>
      <c r="M69" s="6">
        <f t="shared" ca="1" si="16"/>
        <v>0</v>
      </c>
      <c r="N69" s="6">
        <f t="shared" ca="1" si="17"/>
        <v>-3.5300000000049181E-4</v>
      </c>
      <c r="O69" s="7">
        <f t="shared" ca="1" si="18"/>
        <v>0</v>
      </c>
    </row>
    <row r="70" spans="2:15" ht="15" thickBot="1" x14ac:dyDescent="0.35">
      <c r="I70" s="44">
        <f t="shared" si="12"/>
        <v>10.4</v>
      </c>
      <c r="J70" s="45">
        <f t="shared" ca="1" si="13"/>
        <v>-4.589000000006394E-4</v>
      </c>
      <c r="K70" s="6">
        <f t="shared" si="14"/>
        <v>17</v>
      </c>
      <c r="L70" s="6">
        <f t="shared" ca="1" si="15"/>
        <v>8</v>
      </c>
      <c r="M70" s="6">
        <f t="shared" ca="1" si="16"/>
        <v>0</v>
      </c>
      <c r="N70" s="6">
        <f t="shared" ca="1" si="17"/>
        <v>-3.5300000000049181E-4</v>
      </c>
      <c r="O70" s="7">
        <f t="shared" ca="1" si="18"/>
        <v>0</v>
      </c>
    </row>
    <row r="71" spans="2:15" ht="15" thickBot="1" x14ac:dyDescent="0.35">
      <c r="I71" s="44">
        <f t="shared" si="12"/>
        <v>10.6</v>
      </c>
      <c r="J71" s="45">
        <f t="shared" ca="1" si="13"/>
        <v>-4.677250000006516E-4</v>
      </c>
      <c r="K71" s="6">
        <f t="shared" si="14"/>
        <v>17</v>
      </c>
      <c r="L71" s="6">
        <f t="shared" ca="1" si="15"/>
        <v>8</v>
      </c>
      <c r="M71" s="6">
        <f t="shared" ca="1" si="16"/>
        <v>0</v>
      </c>
      <c r="N71" s="6">
        <f t="shared" ca="1" si="17"/>
        <v>-3.5300000000049181E-4</v>
      </c>
      <c r="O71" s="7">
        <f t="shared" ca="1" si="18"/>
        <v>0</v>
      </c>
    </row>
    <row r="72" spans="2:15" ht="15" thickBot="1" x14ac:dyDescent="0.35">
      <c r="I72" s="44">
        <f t="shared" si="12"/>
        <v>10.8</v>
      </c>
      <c r="J72" s="45">
        <f t="shared" ca="1" si="13"/>
        <v>-4.7655000000066398E-4</v>
      </c>
      <c r="K72" s="6">
        <f t="shared" si="14"/>
        <v>17</v>
      </c>
      <c r="L72" s="6">
        <f t="shared" ca="1" si="15"/>
        <v>8</v>
      </c>
      <c r="M72" s="6">
        <f t="shared" ca="1" si="16"/>
        <v>0</v>
      </c>
      <c r="N72" s="6">
        <f t="shared" ca="1" si="17"/>
        <v>-3.5300000000049181E-4</v>
      </c>
      <c r="O72" s="7">
        <f t="shared" ca="1" si="18"/>
        <v>0</v>
      </c>
    </row>
    <row r="73" spans="2:15" ht="15" thickBot="1" x14ac:dyDescent="0.35">
      <c r="I73" s="44">
        <f t="shared" si="12"/>
        <v>11</v>
      </c>
      <c r="J73" s="45">
        <f t="shared" ca="1" si="13"/>
        <v>-4.8537500000067624E-4</v>
      </c>
      <c r="K73" s="6">
        <f t="shared" si="14"/>
        <v>17</v>
      </c>
      <c r="L73" s="6">
        <f t="shared" ca="1" si="15"/>
        <v>8</v>
      </c>
      <c r="M73" s="6">
        <f t="shared" ca="1" si="16"/>
        <v>0</v>
      </c>
      <c r="N73" s="6">
        <f t="shared" ca="1" si="17"/>
        <v>-3.5300000000049181E-4</v>
      </c>
      <c r="O73" s="7">
        <f t="shared" ca="1" si="18"/>
        <v>0</v>
      </c>
    </row>
    <row r="74" spans="2:15" ht="15" thickBot="1" x14ac:dyDescent="0.35">
      <c r="I74" s="44">
        <f t="shared" si="12"/>
        <v>11.2</v>
      </c>
      <c r="J74" s="45">
        <f t="shared" ca="1" si="13"/>
        <v>-4.9420000000068845E-4</v>
      </c>
      <c r="K74" s="6">
        <f t="shared" si="14"/>
        <v>17</v>
      </c>
      <c r="L74" s="6">
        <f t="shared" ca="1" si="15"/>
        <v>8</v>
      </c>
      <c r="M74" s="6">
        <f t="shared" ca="1" si="16"/>
        <v>0</v>
      </c>
      <c r="N74" s="6">
        <f t="shared" ca="1" si="17"/>
        <v>-3.5300000000049181E-4</v>
      </c>
      <c r="O74" s="7">
        <f t="shared" ca="1" si="18"/>
        <v>0</v>
      </c>
    </row>
    <row r="75" spans="2:15" ht="15" thickBot="1" x14ac:dyDescent="0.35">
      <c r="I75" s="44">
        <f t="shared" si="12"/>
        <v>11.4</v>
      </c>
      <c r="J75" s="45">
        <f t="shared" ca="1" si="13"/>
        <v>-5.0302500000070087E-4</v>
      </c>
      <c r="K75" s="6">
        <f t="shared" si="14"/>
        <v>17</v>
      </c>
      <c r="L75" s="6">
        <f t="shared" ca="1" si="15"/>
        <v>8</v>
      </c>
      <c r="M75" s="6">
        <f t="shared" ca="1" si="16"/>
        <v>0</v>
      </c>
      <c r="N75" s="6">
        <f t="shared" ca="1" si="17"/>
        <v>-3.5300000000049181E-4</v>
      </c>
      <c r="O75" s="7">
        <f t="shared" ca="1" si="18"/>
        <v>0</v>
      </c>
    </row>
    <row r="76" spans="2:15" ht="15" thickBot="1" x14ac:dyDescent="0.35">
      <c r="I76" s="44">
        <f t="shared" si="12"/>
        <v>11.6</v>
      </c>
      <c r="J76" s="45">
        <f t="shared" ca="1" si="13"/>
        <v>-5.1185000000071308E-4</v>
      </c>
      <c r="K76" s="6">
        <f t="shared" si="14"/>
        <v>17</v>
      </c>
      <c r="L76" s="6">
        <f t="shared" ca="1" si="15"/>
        <v>8</v>
      </c>
      <c r="M76" s="6">
        <f t="shared" ca="1" si="16"/>
        <v>0</v>
      </c>
      <c r="N76" s="6">
        <f t="shared" ca="1" si="17"/>
        <v>-3.5300000000049181E-4</v>
      </c>
      <c r="O76" s="7">
        <f t="shared" ca="1" si="18"/>
        <v>0</v>
      </c>
    </row>
    <row r="77" spans="2:15" ht="15" thickBot="1" x14ac:dyDescent="0.35">
      <c r="I77" s="44">
        <f t="shared" si="12"/>
        <v>11.8</v>
      </c>
      <c r="J77" s="45">
        <f t="shared" ca="1" si="13"/>
        <v>-5.2067500000072551E-4</v>
      </c>
      <c r="K77" s="6">
        <f t="shared" si="14"/>
        <v>17</v>
      </c>
      <c r="L77" s="6">
        <f t="shared" ca="1" si="15"/>
        <v>8</v>
      </c>
      <c r="M77" s="6">
        <f t="shared" ca="1" si="16"/>
        <v>0</v>
      </c>
      <c r="N77" s="6">
        <f t="shared" ca="1" si="17"/>
        <v>-3.5300000000049181E-4</v>
      </c>
      <c r="O77" s="7">
        <f t="shared" ca="1" si="18"/>
        <v>0</v>
      </c>
    </row>
    <row r="78" spans="2:15" ht="15" thickBot="1" x14ac:dyDescent="0.35">
      <c r="I78" s="44">
        <f t="shared" si="12"/>
        <v>12</v>
      </c>
      <c r="J78" s="45">
        <f t="shared" ca="1" si="13"/>
        <v>-5.2950000000073771E-4</v>
      </c>
      <c r="K78" s="6">
        <f t="shared" si="14"/>
        <v>17</v>
      </c>
      <c r="L78" s="6">
        <f t="shared" ca="1" si="15"/>
        <v>8</v>
      </c>
      <c r="M78" s="6">
        <f t="shared" ca="1" si="16"/>
        <v>0</v>
      </c>
      <c r="N78" s="6">
        <f t="shared" ca="1" si="17"/>
        <v>-3.5300000000049181E-4</v>
      </c>
      <c r="O78" s="7">
        <f t="shared" ca="1" si="18"/>
        <v>0</v>
      </c>
    </row>
    <row r="79" spans="2:15" ht="15" thickBot="1" x14ac:dyDescent="0.35">
      <c r="I79" s="44">
        <f t="shared" si="12"/>
        <v>0</v>
      </c>
      <c r="J79" s="45" t="e">
        <f t="shared" ca="1" si="13"/>
        <v>#VALUE!</v>
      </c>
      <c r="K79" s="6">
        <f t="shared" si="14"/>
        <v>0</v>
      </c>
      <c r="L79" s="6" t="str">
        <f t="shared" ca="1" si="15"/>
        <v>Nominal</v>
      </c>
      <c r="M79" s="6">
        <f t="shared" ca="1" si="16"/>
        <v>0</v>
      </c>
      <c r="N79" s="6" t="str">
        <f t="shared" ca="1" si="17"/>
        <v>Characterized Correction</v>
      </c>
      <c r="O79" s="7">
        <f t="shared" ca="1" si="18"/>
        <v>0</v>
      </c>
    </row>
    <row r="80" spans="2:15" ht="15" thickBot="1" x14ac:dyDescent="0.35">
      <c r="I80" s="44">
        <f t="shared" si="12"/>
        <v>0</v>
      </c>
      <c r="J80" s="45" t="e">
        <f t="shared" ca="1" si="13"/>
        <v>#VALUE!</v>
      </c>
      <c r="K80" s="6">
        <f t="shared" si="14"/>
        <v>0</v>
      </c>
      <c r="L80" s="6" t="str">
        <f t="shared" ca="1" si="15"/>
        <v>Nominal</v>
      </c>
      <c r="M80" s="6">
        <f t="shared" ca="1" si="16"/>
        <v>0</v>
      </c>
      <c r="N80" s="6" t="str">
        <f t="shared" ca="1" si="17"/>
        <v>Characterized Correction</v>
      </c>
      <c r="O80" s="7">
        <f t="shared" ca="1" si="18"/>
        <v>0</v>
      </c>
    </row>
  </sheetData>
  <sheetProtection selectLockedCells="1" selectUnlockedCells="1"/>
  <pageMargins left="0.7" right="0.7" top="0.75" bottom="0.75" header="0.3" footer="0.3"/>
  <pageSetup scale="68" orientation="portrait" horizontalDpi="4294967292" r:id="rId1"/>
  <rowBreaks count="1" manualBreakCount="1">
    <brk id="65" max="7" man="1"/>
  </rowBreaks>
  <colBreaks count="2" manualBreakCount="2">
    <brk id="8" max="64" man="1"/>
    <brk id="17" max="6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V80"/>
  <sheetViews>
    <sheetView zoomScaleNormal="100" workbookViewId="0">
      <selection activeCell="H6" sqref="H6"/>
    </sheetView>
  </sheetViews>
  <sheetFormatPr defaultRowHeight="14.4" x14ac:dyDescent="0.3"/>
  <cols>
    <col min="3" max="3" width="10.6640625" customWidth="1"/>
    <col min="4" max="4" width="9.33203125" customWidth="1"/>
    <col min="5" max="5" width="12.44140625" customWidth="1"/>
    <col min="6" max="6" width="11.6640625" customWidth="1"/>
    <col min="7" max="7" width="17" style="1" customWidth="1"/>
    <col min="8" max="8" width="17.5546875" style="46" customWidth="1"/>
    <col min="9" max="9" width="15.5546875" customWidth="1"/>
    <col min="10" max="10" width="27.109375" customWidth="1"/>
    <col min="11" max="11" width="12" customWidth="1"/>
    <col min="16" max="16" width="14.109375" customWidth="1"/>
    <col min="20" max="20" width="23" style="42" customWidth="1"/>
    <col min="21" max="21" width="15.44140625" style="43" customWidth="1"/>
    <col min="22" max="22" width="22.88671875" style="43" customWidth="1"/>
  </cols>
  <sheetData>
    <row r="1" spans="3:22" x14ac:dyDescent="0.3">
      <c r="C1" t="s">
        <v>152</v>
      </c>
    </row>
    <row r="2" spans="3:22" ht="15" thickBot="1" x14ac:dyDescent="0.35">
      <c r="C2">
        <f>Worksheet!E29</f>
        <v>10</v>
      </c>
      <c r="D2" t="s">
        <v>153</v>
      </c>
      <c r="E2" t="s">
        <v>154</v>
      </c>
      <c r="F2" s="28">
        <v>42377</v>
      </c>
      <c r="I2" t="s">
        <v>155</v>
      </c>
    </row>
    <row r="3" spans="3:22" x14ac:dyDescent="0.3">
      <c r="I3" s="3" t="s">
        <v>109</v>
      </c>
      <c r="J3" s="4" t="s">
        <v>110</v>
      </c>
      <c r="K3" s="4" t="s">
        <v>111</v>
      </c>
      <c r="L3" s="4" t="s">
        <v>112</v>
      </c>
      <c r="M3" s="4" t="s">
        <v>113</v>
      </c>
      <c r="N3" s="4" t="s">
        <v>114</v>
      </c>
      <c r="O3" s="5" t="s">
        <v>115</v>
      </c>
      <c r="P3" t="s">
        <v>156</v>
      </c>
      <c r="R3" t="s">
        <v>157</v>
      </c>
    </row>
    <row r="4" spans="3:22" ht="15" thickBot="1" x14ac:dyDescent="0.35">
      <c r="C4" t="s">
        <v>158</v>
      </c>
      <c r="D4" t="s">
        <v>11</v>
      </c>
      <c r="E4" t="s">
        <v>142</v>
      </c>
      <c r="F4" t="s">
        <v>134</v>
      </c>
      <c r="G4" s="1" t="s">
        <v>159</v>
      </c>
      <c r="H4" s="46" t="s">
        <v>160</v>
      </c>
      <c r="I4" s="9">
        <f>Worksheet!F32</f>
        <v>0</v>
      </c>
      <c r="J4" s="10" t="e">
        <f ca="1">(I4-L4)/(M4-L4)*(O4-N4)+N4</f>
        <v>#VALUE!</v>
      </c>
      <c r="K4" s="6">
        <f>COUNTIF($C$5:$C$25,"&lt;"&amp;I4)</f>
        <v>0</v>
      </c>
      <c r="L4" s="6" t="str">
        <f ca="1">INDIRECT(ADDRESS(K4+4,3))</f>
        <v>Marked</v>
      </c>
      <c r="M4" s="6">
        <f ca="1">INDIRECT(ADDRESS(K4+5,3))</f>
        <v>0</v>
      </c>
      <c r="N4" s="6" t="str">
        <f ca="1">INDIRECT(ADDRESS(K4+4,8))</f>
        <v>Usage Corr. Factor</v>
      </c>
      <c r="O4" s="7">
        <f ca="1">INDIRECT(ADDRESS(K4+5,8))</f>
        <v>0</v>
      </c>
      <c r="P4" t="e">
        <f ca="1">I4+J4</f>
        <v>#VALUE!</v>
      </c>
      <c r="R4" t="s">
        <v>11</v>
      </c>
      <c r="S4" t="s">
        <v>146</v>
      </c>
      <c r="T4" s="42" t="s">
        <v>161</v>
      </c>
      <c r="U4" s="43" t="s">
        <v>162</v>
      </c>
      <c r="V4" s="43" t="s">
        <v>163</v>
      </c>
    </row>
    <row r="5" spans="3:22" ht="15" thickBot="1" x14ac:dyDescent="0.35">
      <c r="C5">
        <f>D5/$C$2</f>
        <v>0</v>
      </c>
      <c r="D5">
        <v>0</v>
      </c>
      <c r="E5" s="8">
        <v>0</v>
      </c>
      <c r="F5" s="8">
        <f>E5-D5</f>
        <v>0</v>
      </c>
      <c r="I5" s="9">
        <f>Worksheet!F33</f>
        <v>0</v>
      </c>
      <c r="J5" s="10" t="e">
        <f t="shared" ref="J5:J15" ca="1" si="0">(I5-L5)/(M5-L5)*(O5-N5)+N5</f>
        <v>#VALUE!</v>
      </c>
      <c r="K5" s="6">
        <f t="shared" ref="K5:K15" si="1">COUNTIF($C$5:$C$25,"&lt;"&amp;I5)</f>
        <v>0</v>
      </c>
      <c r="L5" s="6" t="str">
        <f t="shared" ref="L5:L15" ca="1" si="2">INDIRECT(ADDRESS(K5+4,3))</f>
        <v>Marked</v>
      </c>
      <c r="M5" s="6">
        <f t="shared" ref="M5:M15" ca="1" si="3">INDIRECT(ADDRESS(K5+5,3))</f>
        <v>0</v>
      </c>
      <c r="N5" s="6" t="str">
        <f t="shared" ref="N5:N15" ca="1" si="4">INDIRECT(ADDRESS(K5+4,5))</f>
        <v>indicated</v>
      </c>
      <c r="O5" s="7">
        <f t="shared" ref="O5:O15" ca="1" si="5">INDIRECT(ADDRESS(K5+5,5))</f>
        <v>0</v>
      </c>
      <c r="R5">
        <v>0</v>
      </c>
      <c r="S5">
        <v>0</v>
      </c>
      <c r="T5" s="42">
        <v>0</v>
      </c>
      <c r="U5" s="43">
        <v>0</v>
      </c>
    </row>
    <row r="6" spans="3:22" ht="15" thickBot="1" x14ac:dyDescent="0.35">
      <c r="C6">
        <f t="shared" ref="C6:C65" si="6">D6/$C$2</f>
        <v>0.02</v>
      </c>
      <c r="D6">
        <v>0.2</v>
      </c>
      <c r="E6" s="8">
        <v>0.20014000000000001</v>
      </c>
      <c r="F6" s="8">
        <f>E6-D6</f>
        <v>1.4000000000000123E-4</v>
      </c>
      <c r="G6" s="1">
        <f ca="1">J19</f>
        <v>-1.0400000000032606E-5</v>
      </c>
      <c r="H6" s="46">
        <f ca="1">-(F6+G6)</f>
        <v>-1.2959999999996862E-4</v>
      </c>
      <c r="I6" s="9">
        <f>Worksheet!F34</f>
        <v>0</v>
      </c>
      <c r="J6" s="10" t="e">
        <f t="shared" ca="1" si="0"/>
        <v>#VALUE!</v>
      </c>
      <c r="K6" s="6">
        <f t="shared" si="1"/>
        <v>0</v>
      </c>
      <c r="L6" s="6" t="str">
        <f t="shared" ca="1" si="2"/>
        <v>Marked</v>
      </c>
      <c r="M6" s="6">
        <f t="shared" ca="1" si="3"/>
        <v>0</v>
      </c>
      <c r="N6" s="6" t="str">
        <f t="shared" ca="1" si="4"/>
        <v>indicated</v>
      </c>
      <c r="O6" s="7">
        <f t="shared" ca="1" si="5"/>
        <v>0</v>
      </c>
      <c r="R6">
        <v>0.5</v>
      </c>
      <c r="S6">
        <v>0.50004000000000004</v>
      </c>
      <c r="T6" s="42">
        <f>-'OC3000 Values'!F7</f>
        <v>-1.399999999995849E-5</v>
      </c>
      <c r="U6" s="42">
        <f>S6+T6</f>
        <v>0.50002600000000008</v>
      </c>
      <c r="V6" s="42">
        <f>R6-U6</f>
        <v>-2.6000000000081513E-5</v>
      </c>
    </row>
    <row r="7" spans="3:22" ht="15" thickBot="1" x14ac:dyDescent="0.35">
      <c r="C7">
        <f t="shared" si="6"/>
        <v>0.04</v>
      </c>
      <c r="D7">
        <v>0.4</v>
      </c>
      <c r="E7" s="8">
        <v>0.40022999999999997</v>
      </c>
      <c r="F7" s="8">
        <f t="shared" ref="F7:F65" si="7">E7-D7</f>
        <v>2.2999999999995246E-4</v>
      </c>
      <c r="G7" s="1">
        <f t="shared" ref="G7:G65" ca="1" si="8">J20</f>
        <v>-2.0800000000065212E-5</v>
      </c>
      <c r="H7" s="46">
        <f t="shared" ref="H7:H45" ca="1" si="9">-(F7+G7)</f>
        <v>-2.0919999999988726E-4</v>
      </c>
      <c r="I7" s="9">
        <f>Worksheet!F35</f>
        <v>0</v>
      </c>
      <c r="J7" s="10" t="e">
        <f t="shared" ca="1" si="0"/>
        <v>#VALUE!</v>
      </c>
      <c r="K7" s="6">
        <f t="shared" si="1"/>
        <v>0</v>
      </c>
      <c r="L7" s="6" t="str">
        <f t="shared" ca="1" si="2"/>
        <v>Marked</v>
      </c>
      <c r="M7" s="6">
        <f t="shared" ca="1" si="3"/>
        <v>0</v>
      </c>
      <c r="N7" s="6" t="str">
        <f t="shared" ca="1" si="4"/>
        <v>indicated</v>
      </c>
      <c r="O7" s="7">
        <f t="shared" ca="1" si="5"/>
        <v>0</v>
      </c>
      <c r="R7">
        <v>1</v>
      </c>
      <c r="S7">
        <v>1.0000100000000001</v>
      </c>
      <c r="T7" s="42">
        <f>-'OC3000 Values'!F8</f>
        <v>-5.3999999999998494E-5</v>
      </c>
      <c r="U7" s="42">
        <f t="shared" ref="U7:U21" si="10">S7+T7</f>
        <v>0.99995600000000007</v>
      </c>
      <c r="V7" s="42">
        <f t="shared" ref="V7:V21" si="11">R7-U7</f>
        <v>4.3999999999932982E-5</v>
      </c>
    </row>
    <row r="8" spans="3:22" ht="15" thickBot="1" x14ac:dyDescent="0.35">
      <c r="C8">
        <f t="shared" si="6"/>
        <v>0.06</v>
      </c>
      <c r="D8">
        <v>0.6</v>
      </c>
      <c r="E8" s="8">
        <v>0.60021000000000002</v>
      </c>
      <c r="F8" s="8">
        <f t="shared" si="7"/>
        <v>2.1000000000004349E-4</v>
      </c>
      <c r="G8" s="1">
        <f t="shared" ca="1" si="8"/>
        <v>-1.2000000000078617E-5</v>
      </c>
      <c r="H8" s="46">
        <f t="shared" ca="1" si="9"/>
        <v>-1.9799999999996486E-4</v>
      </c>
      <c r="I8" s="9">
        <f>Worksheet!F36</f>
        <v>0</v>
      </c>
      <c r="J8" s="10" t="e">
        <f t="shared" ca="1" si="0"/>
        <v>#VALUE!</v>
      </c>
      <c r="K8" s="6">
        <f t="shared" si="1"/>
        <v>0</v>
      </c>
      <c r="L8" s="6" t="str">
        <f t="shared" ca="1" si="2"/>
        <v>Marked</v>
      </c>
      <c r="M8" s="6">
        <f t="shared" ca="1" si="3"/>
        <v>0</v>
      </c>
      <c r="N8" s="6" t="str">
        <f t="shared" ca="1" si="4"/>
        <v>indicated</v>
      </c>
      <c r="O8" s="7">
        <f t="shared" ca="1" si="5"/>
        <v>0</v>
      </c>
      <c r="R8">
        <v>1.5</v>
      </c>
      <c r="S8">
        <v>1.50013</v>
      </c>
      <c r="T8" s="42">
        <f>-'OC3000 Values'!F9</f>
        <v>-8.3999999999972985E-5</v>
      </c>
      <c r="U8" s="42">
        <f t="shared" si="10"/>
        <v>1.500046</v>
      </c>
      <c r="V8" s="42">
        <f t="shared" si="11"/>
        <v>-4.5999999999990493E-5</v>
      </c>
    </row>
    <row r="9" spans="3:22" ht="15" thickBot="1" x14ac:dyDescent="0.35">
      <c r="C9">
        <f t="shared" si="6"/>
        <v>0.08</v>
      </c>
      <c r="D9">
        <v>0.8</v>
      </c>
      <c r="E9" s="8">
        <v>0.80034000000000005</v>
      </c>
      <c r="F9" s="8">
        <f t="shared" si="7"/>
        <v>3.4000000000000696E-4</v>
      </c>
      <c r="G9" s="1">
        <f t="shared" ca="1" si="8"/>
        <v>1.5999999999927192E-5</v>
      </c>
      <c r="H9" s="46">
        <f t="shared" ca="1" si="9"/>
        <v>-3.5599999999993417E-4</v>
      </c>
      <c r="I9" s="9">
        <f>Worksheet!F37</f>
        <v>0</v>
      </c>
      <c r="J9" s="10" t="e">
        <f t="shared" ca="1" si="0"/>
        <v>#VALUE!</v>
      </c>
      <c r="K9" s="6">
        <f t="shared" si="1"/>
        <v>0</v>
      </c>
      <c r="L9" s="6" t="str">
        <f t="shared" ca="1" si="2"/>
        <v>Marked</v>
      </c>
      <c r="M9" s="6">
        <f t="shared" ca="1" si="3"/>
        <v>0</v>
      </c>
      <c r="N9" s="6" t="str">
        <f t="shared" ca="1" si="4"/>
        <v>indicated</v>
      </c>
      <c r="O9" s="7">
        <f t="shared" ca="1" si="5"/>
        <v>0</v>
      </c>
      <c r="R9">
        <v>2</v>
      </c>
      <c r="S9">
        <v>2.0000900000000001</v>
      </c>
      <c r="T9" s="42">
        <f>-'OC3000 Values'!F10</f>
        <v>-7.1999999999849962E-5</v>
      </c>
      <c r="U9" s="42">
        <f t="shared" si="10"/>
        <v>2.0000180000000003</v>
      </c>
      <c r="V9" s="42">
        <f t="shared" si="11"/>
        <v>-1.8000000000295557E-5</v>
      </c>
    </row>
    <row r="10" spans="3:22" ht="15" thickBot="1" x14ac:dyDescent="0.35">
      <c r="C10">
        <f t="shared" si="6"/>
        <v>0.1</v>
      </c>
      <c r="D10">
        <v>1</v>
      </c>
      <c r="E10" s="8">
        <v>1.0000500000000001</v>
      </c>
      <c r="F10" s="8">
        <f t="shared" si="7"/>
        <v>5.0000000000105516E-5</v>
      </c>
      <c r="G10" s="1">
        <f t="shared" ca="1" si="8"/>
        <v>4.3999999999932982E-5</v>
      </c>
      <c r="H10" s="46">
        <f t="shared" ca="1" si="9"/>
        <v>-9.4000000000038497E-5</v>
      </c>
      <c r="I10" s="9">
        <f>Worksheet!F38</f>
        <v>0</v>
      </c>
      <c r="J10" s="10" t="e">
        <f t="shared" ca="1" si="0"/>
        <v>#VALUE!</v>
      </c>
      <c r="K10" s="6">
        <f t="shared" si="1"/>
        <v>0</v>
      </c>
      <c r="L10" s="6" t="str">
        <f t="shared" ca="1" si="2"/>
        <v>Marked</v>
      </c>
      <c r="M10" s="6">
        <f t="shared" ca="1" si="3"/>
        <v>0</v>
      </c>
      <c r="N10" s="6" t="str">
        <f t="shared" ca="1" si="4"/>
        <v>indicated</v>
      </c>
      <c r="O10" s="7">
        <f t="shared" ca="1" si="5"/>
        <v>0</v>
      </c>
      <c r="R10">
        <v>2.5</v>
      </c>
      <c r="S10">
        <v>2.5001699999999998</v>
      </c>
      <c r="T10" s="42">
        <f>-'OC3000 Values'!F11</f>
        <v>-1.1599999999978294E-4</v>
      </c>
      <c r="U10" s="42">
        <f t="shared" si="10"/>
        <v>2.500054</v>
      </c>
      <c r="V10" s="42">
        <f t="shared" si="11"/>
        <v>-5.3999999999998494E-5</v>
      </c>
    </row>
    <row r="11" spans="3:22" ht="15" thickBot="1" x14ac:dyDescent="0.35">
      <c r="C11">
        <f t="shared" si="6"/>
        <v>0.12</v>
      </c>
      <c r="D11">
        <v>1.2</v>
      </c>
      <c r="E11" s="8">
        <v>1.1999</v>
      </c>
      <c r="F11" s="8">
        <f t="shared" si="7"/>
        <v>-9.9999999999988987E-5</v>
      </c>
      <c r="G11" s="1">
        <f t="shared" ca="1" si="8"/>
        <v>7.9999999999636026E-6</v>
      </c>
      <c r="H11" s="46">
        <f t="shared" ca="1" si="9"/>
        <v>9.2000000000025384E-5</v>
      </c>
      <c r="I11" s="9">
        <f>Worksheet!F39</f>
        <v>0</v>
      </c>
      <c r="J11" s="10" t="e">
        <f t="shared" ca="1" si="0"/>
        <v>#VALUE!</v>
      </c>
      <c r="K11" s="6">
        <f t="shared" si="1"/>
        <v>0</v>
      </c>
      <c r="L11" s="6" t="str">
        <f t="shared" ca="1" si="2"/>
        <v>Marked</v>
      </c>
      <c r="M11" s="6">
        <f t="shared" ca="1" si="3"/>
        <v>0</v>
      </c>
      <c r="N11" s="6" t="str">
        <f t="shared" ca="1" si="4"/>
        <v>indicated</v>
      </c>
      <c r="O11" s="7">
        <f t="shared" ca="1" si="5"/>
        <v>0</v>
      </c>
      <c r="R11">
        <v>3</v>
      </c>
      <c r="S11">
        <v>3.0002499999999999</v>
      </c>
      <c r="T11" s="42">
        <f>-'OC3000 Values'!F12</f>
        <v>-1.5799999999988046E-4</v>
      </c>
      <c r="U11" s="42">
        <f t="shared" si="10"/>
        <v>3.000092</v>
      </c>
      <c r="V11" s="42">
        <f t="shared" si="11"/>
        <v>-9.1999999999980986E-5</v>
      </c>
    </row>
    <row r="12" spans="3:22" ht="15" thickBot="1" x14ac:dyDescent="0.35">
      <c r="C12">
        <f t="shared" si="6"/>
        <v>0.13999999999999999</v>
      </c>
      <c r="D12">
        <v>1.4</v>
      </c>
      <c r="E12" s="8">
        <v>1.40008</v>
      </c>
      <c r="F12" s="8">
        <f t="shared" si="7"/>
        <v>8.0000000000080007E-5</v>
      </c>
      <c r="G12" s="1">
        <f t="shared" ca="1" si="8"/>
        <v>-2.8000000000005776E-5</v>
      </c>
      <c r="H12" s="46">
        <f t="shared" ca="1" si="9"/>
        <v>-5.2000000000074231E-5</v>
      </c>
      <c r="I12" s="9">
        <f>Worksheet!F40</f>
        <v>0</v>
      </c>
      <c r="J12" s="10" t="e">
        <f t="shared" ca="1" si="0"/>
        <v>#VALUE!</v>
      </c>
      <c r="K12" s="6">
        <f t="shared" si="1"/>
        <v>0</v>
      </c>
      <c r="L12" s="6" t="str">
        <f t="shared" ca="1" si="2"/>
        <v>Marked</v>
      </c>
      <c r="M12" s="6">
        <f t="shared" ca="1" si="3"/>
        <v>0</v>
      </c>
      <c r="N12" s="6" t="str">
        <f t="shared" ca="1" si="4"/>
        <v>indicated</v>
      </c>
      <c r="O12" s="7">
        <f t="shared" ca="1" si="5"/>
        <v>0</v>
      </c>
      <c r="R12">
        <v>3.5</v>
      </c>
      <c r="S12">
        <v>3.5003000000000002</v>
      </c>
      <c r="T12" s="42">
        <f>-'OC3000 Values'!F13</f>
        <v>-1.5600000000004499E-4</v>
      </c>
      <c r="U12" s="42">
        <f t="shared" si="10"/>
        <v>3.5001440000000001</v>
      </c>
      <c r="V12" s="42">
        <f t="shared" si="11"/>
        <v>-1.4400000000014401E-4</v>
      </c>
    </row>
    <row r="13" spans="3:22" ht="15" thickBot="1" x14ac:dyDescent="0.35">
      <c r="C13">
        <f t="shared" si="6"/>
        <v>0.16</v>
      </c>
      <c r="D13">
        <v>1.6</v>
      </c>
      <c r="E13" s="8">
        <v>1.5999399999999999</v>
      </c>
      <c r="F13" s="8">
        <f t="shared" si="7"/>
        <v>-6.0000000000171028E-5</v>
      </c>
      <c r="G13" s="1">
        <f t="shared" ca="1" si="8"/>
        <v>-4.0400000000051499E-5</v>
      </c>
      <c r="H13" s="46">
        <f t="shared" ca="1" si="9"/>
        <v>1.0040000000022253E-4</v>
      </c>
      <c r="I13" s="9">
        <f>Worksheet!F41</f>
        <v>0</v>
      </c>
      <c r="J13" s="10" t="e">
        <f t="shared" ca="1" si="0"/>
        <v>#VALUE!</v>
      </c>
      <c r="K13" s="6">
        <f t="shared" si="1"/>
        <v>0</v>
      </c>
      <c r="L13" s="6" t="str">
        <f t="shared" ca="1" si="2"/>
        <v>Marked</v>
      </c>
      <c r="M13" s="6">
        <f t="shared" ca="1" si="3"/>
        <v>0</v>
      </c>
      <c r="N13" s="6" t="str">
        <f t="shared" ca="1" si="4"/>
        <v>indicated</v>
      </c>
      <c r="O13" s="7">
        <f t="shared" ca="1" si="5"/>
        <v>0</v>
      </c>
      <c r="R13">
        <v>4</v>
      </c>
      <c r="S13">
        <v>4.0003799999999998</v>
      </c>
      <c r="T13" s="42">
        <f>-'OC3000 Values'!F14</f>
        <v>-1.9100000000005224E-4</v>
      </c>
      <c r="U13" s="42">
        <f t="shared" si="10"/>
        <v>4.0001889999999998</v>
      </c>
      <c r="V13" s="42">
        <f t="shared" si="11"/>
        <v>-1.8899999999977268E-4</v>
      </c>
    </row>
    <row r="14" spans="3:22" ht="15" thickBot="1" x14ac:dyDescent="0.35">
      <c r="C14">
        <f t="shared" si="6"/>
        <v>0.18</v>
      </c>
      <c r="D14">
        <v>1.8</v>
      </c>
      <c r="E14" s="8">
        <v>1.80019</v>
      </c>
      <c r="F14" s="8">
        <f t="shared" si="7"/>
        <v>1.8999999999991246E-4</v>
      </c>
      <c r="G14" s="1">
        <f t="shared" ca="1" si="8"/>
        <v>-2.9200000000173528E-5</v>
      </c>
      <c r="H14" s="46">
        <f t="shared" ca="1" si="9"/>
        <v>-1.6079999999973893E-4</v>
      </c>
      <c r="I14" s="9">
        <f>Worksheet!F42</f>
        <v>0</v>
      </c>
      <c r="J14" s="10" t="e">
        <f t="shared" ca="1" si="0"/>
        <v>#VALUE!</v>
      </c>
      <c r="K14" s="6">
        <f t="shared" si="1"/>
        <v>0</v>
      </c>
      <c r="L14" s="6" t="str">
        <f t="shared" ca="1" si="2"/>
        <v>Marked</v>
      </c>
      <c r="M14" s="6">
        <f t="shared" ca="1" si="3"/>
        <v>0</v>
      </c>
      <c r="N14" s="6" t="str">
        <f t="shared" ca="1" si="4"/>
        <v>indicated</v>
      </c>
      <c r="O14" s="7">
        <f t="shared" ca="1" si="5"/>
        <v>0</v>
      </c>
      <c r="R14">
        <v>4.5</v>
      </c>
      <c r="S14">
        <v>4.5003799999999998</v>
      </c>
      <c r="T14" s="42">
        <f>-'OC3000 Values'!F15</f>
        <v>-2.149999999998542E-4</v>
      </c>
      <c r="U14" s="42">
        <f t="shared" si="10"/>
        <v>4.500165</v>
      </c>
      <c r="V14" s="42">
        <f t="shared" si="11"/>
        <v>-1.6499999999997073E-4</v>
      </c>
    </row>
    <row r="15" spans="3:22" ht="15" thickBot="1" x14ac:dyDescent="0.35">
      <c r="C15">
        <f t="shared" si="6"/>
        <v>0.2</v>
      </c>
      <c r="D15">
        <v>2</v>
      </c>
      <c r="E15" s="8">
        <v>2.0002499999999999</v>
      </c>
      <c r="F15" s="8">
        <f t="shared" si="7"/>
        <v>2.4999999999986144E-4</v>
      </c>
      <c r="G15" s="1">
        <f t="shared" ca="1" si="8"/>
        <v>-1.8000000000295557E-5</v>
      </c>
      <c r="H15" s="46">
        <f t="shared" ca="1" si="9"/>
        <v>-2.3199999999956589E-4</v>
      </c>
      <c r="I15" s="9">
        <f>Worksheet!F43</f>
        <v>0</v>
      </c>
      <c r="J15" s="10" t="e">
        <f t="shared" ca="1" si="0"/>
        <v>#VALUE!</v>
      </c>
      <c r="K15" s="6">
        <f t="shared" si="1"/>
        <v>0</v>
      </c>
      <c r="L15" s="6" t="str">
        <f t="shared" ca="1" si="2"/>
        <v>Marked</v>
      </c>
      <c r="M15" s="6">
        <f t="shared" ca="1" si="3"/>
        <v>0</v>
      </c>
      <c r="N15" s="6" t="str">
        <f t="shared" ca="1" si="4"/>
        <v>indicated</v>
      </c>
      <c r="O15" s="7">
        <f t="shared" ca="1" si="5"/>
        <v>0</v>
      </c>
      <c r="R15">
        <v>5</v>
      </c>
      <c r="S15">
        <v>5.0004200000000001</v>
      </c>
      <c r="T15" s="42">
        <f>-'OC3000 Values'!F16</f>
        <v>-1.9399999999958339E-4</v>
      </c>
      <c r="U15" s="42">
        <f t="shared" si="10"/>
        <v>5.0002260000000005</v>
      </c>
      <c r="V15" s="42">
        <f t="shared" si="11"/>
        <v>-2.2600000000050358E-4</v>
      </c>
    </row>
    <row r="16" spans="3:22" x14ac:dyDescent="0.3">
      <c r="C16">
        <f t="shared" si="6"/>
        <v>0.22000000000000003</v>
      </c>
      <c r="D16">
        <v>2.2000000000000002</v>
      </c>
      <c r="E16" s="8">
        <v>2.2002600000000001</v>
      </c>
      <c r="F16" s="8">
        <f t="shared" si="7"/>
        <v>2.5999999999992696E-4</v>
      </c>
      <c r="G16" s="1">
        <f t="shared" ca="1" si="8"/>
        <v>-3.2400000000176747E-5</v>
      </c>
      <c r="H16" s="46">
        <f t="shared" ca="1" si="9"/>
        <v>-2.275999999997502E-4</v>
      </c>
      <c r="R16">
        <v>5.5</v>
      </c>
      <c r="S16">
        <v>5.5004600000000003</v>
      </c>
      <c r="T16" s="42">
        <f>-'OC3000 Values'!F17</f>
        <v>-2.1299999999957464E-4</v>
      </c>
      <c r="U16" s="42">
        <f t="shared" si="10"/>
        <v>5.5002470000000008</v>
      </c>
      <c r="V16" s="42">
        <f t="shared" si="11"/>
        <v>-2.4700000000077438E-4</v>
      </c>
    </row>
    <row r="17" spans="3:22" ht="15" thickBot="1" x14ac:dyDescent="0.35">
      <c r="C17">
        <f t="shared" si="6"/>
        <v>0.24</v>
      </c>
      <c r="D17">
        <v>2.4</v>
      </c>
      <c r="E17" s="8">
        <v>2.4002400000000002</v>
      </c>
      <c r="F17" s="8">
        <f t="shared" si="7"/>
        <v>2.4000000000024002E-4</v>
      </c>
      <c r="G17" s="1">
        <f t="shared" ca="1" si="8"/>
        <v>-4.6800000000057896E-5</v>
      </c>
      <c r="H17" s="46">
        <f t="shared" ca="1" si="9"/>
        <v>-1.9320000000018213E-4</v>
      </c>
      <c r="I17" t="s">
        <v>164</v>
      </c>
      <c r="R17">
        <v>6</v>
      </c>
      <c r="S17">
        <v>6.00047</v>
      </c>
      <c r="T17" s="42">
        <f>-'OC3000 Values'!F18</f>
        <v>-2.3100000000031429E-4</v>
      </c>
      <c r="U17" s="42">
        <f t="shared" si="10"/>
        <v>6.0002389999999997</v>
      </c>
      <c r="V17" s="42">
        <f t="shared" si="11"/>
        <v>-2.3899999999965615E-4</v>
      </c>
    </row>
    <row r="18" spans="3:22" x14ac:dyDescent="0.3">
      <c r="C18">
        <f t="shared" si="6"/>
        <v>0.26</v>
      </c>
      <c r="D18">
        <v>2.6</v>
      </c>
      <c r="E18" s="8">
        <v>2.6002200000000002</v>
      </c>
      <c r="F18" s="8">
        <f t="shared" si="7"/>
        <v>2.20000000000109E-4</v>
      </c>
      <c r="G18" s="1">
        <f t="shared" ca="1" si="8"/>
        <v>-6.1599999999994992E-5</v>
      </c>
      <c r="H18" s="46">
        <f t="shared" ca="1" si="9"/>
        <v>-1.5840000000011401E-4</v>
      </c>
      <c r="I18" s="3" t="s">
        <v>109</v>
      </c>
      <c r="J18" s="4" t="s">
        <v>110</v>
      </c>
      <c r="K18" s="4" t="s">
        <v>111</v>
      </c>
      <c r="L18" s="4" t="s">
        <v>112</v>
      </c>
      <c r="M18" s="4" t="s">
        <v>113</v>
      </c>
      <c r="N18" s="4" t="s">
        <v>114</v>
      </c>
      <c r="O18" s="5" t="s">
        <v>115</v>
      </c>
      <c r="R18">
        <v>6.5</v>
      </c>
      <c r="S18">
        <v>6.5004299999999997</v>
      </c>
      <c r="T18" s="42">
        <f>-'OC3000 Values'!F19</f>
        <v>-2.3199999999956589E-4</v>
      </c>
      <c r="U18" s="42">
        <f t="shared" si="10"/>
        <v>6.5001980000000001</v>
      </c>
      <c r="V18" s="42">
        <f t="shared" si="11"/>
        <v>-1.9800000000014251E-4</v>
      </c>
    </row>
    <row r="19" spans="3:22" ht="15" thickBot="1" x14ac:dyDescent="0.35">
      <c r="C19">
        <f t="shared" si="6"/>
        <v>0.27999999999999997</v>
      </c>
      <c r="D19">
        <v>2.8</v>
      </c>
      <c r="E19" s="8">
        <v>2.8002799999999999</v>
      </c>
      <c r="F19" s="8">
        <f t="shared" si="7"/>
        <v>2.8000000000005798E-4</v>
      </c>
      <c r="G19" s="1">
        <f t="shared" ca="1" si="8"/>
        <v>-7.6799999999987975E-5</v>
      </c>
      <c r="H19" s="46">
        <f t="shared" ca="1" si="9"/>
        <v>-2.0320000000006999E-4</v>
      </c>
      <c r="I19" s="44">
        <f>D6</f>
        <v>0.2</v>
      </c>
      <c r="J19" s="45">
        <f ca="1">(I19-L19)/(M19-L19)*(O19-N19)+N19</f>
        <v>-1.0400000000032606E-5</v>
      </c>
      <c r="K19" s="6">
        <f>COUNTIF($R$5:$R$65,"&lt;"&amp;I19)</f>
        <v>1</v>
      </c>
      <c r="L19" s="6">
        <f ca="1">INDIRECT(ADDRESS(K19+4,18))</f>
        <v>0</v>
      </c>
      <c r="M19" s="6">
        <f ca="1">INDIRECT(ADDRESS(K19+5,18))</f>
        <v>0.5</v>
      </c>
      <c r="N19" s="6">
        <f ca="1">INDIRECT(ADDRESS(K19+4,22))</f>
        <v>0</v>
      </c>
      <c r="O19" s="7">
        <f ca="1">INDIRECT(ADDRESS(K19+5,22))</f>
        <v>-2.6000000000081513E-5</v>
      </c>
      <c r="R19">
        <v>7</v>
      </c>
      <c r="S19">
        <v>7.0005499999999996</v>
      </c>
      <c r="T19" s="42">
        <f>-'OC3000 Values'!F20</f>
        <v>-1.9599999999986295E-4</v>
      </c>
      <c r="U19" s="42">
        <f t="shared" si="10"/>
        <v>7.0003539999999997</v>
      </c>
      <c r="V19" s="42">
        <f t="shared" si="11"/>
        <v>-3.5399999999974341E-4</v>
      </c>
    </row>
    <row r="20" spans="3:22" ht="15" thickBot="1" x14ac:dyDescent="0.35">
      <c r="C20">
        <f t="shared" si="6"/>
        <v>0.3</v>
      </c>
      <c r="D20">
        <v>3</v>
      </c>
      <c r="E20" s="8">
        <v>3.00021</v>
      </c>
      <c r="F20" s="8">
        <f t="shared" si="7"/>
        <v>2.1000000000004349E-4</v>
      </c>
      <c r="G20" s="1">
        <f t="shared" ca="1" si="8"/>
        <v>-9.1999999999980986E-5</v>
      </c>
      <c r="H20" s="46">
        <f t="shared" ca="1" si="9"/>
        <v>-1.180000000000625E-4</v>
      </c>
      <c r="I20" s="44">
        <f t="shared" ref="I20:I80" si="12">D7</f>
        <v>0.4</v>
      </c>
      <c r="J20" s="45">
        <f t="shared" ref="J20:J80" ca="1" si="13">(I20-L20)/(M20-L20)*(O20-N20)+N20</f>
        <v>-2.0800000000065212E-5</v>
      </c>
      <c r="K20" s="6">
        <f t="shared" ref="K20:K80" si="14">COUNTIF($R$5:$R$65,"&lt;"&amp;I20)</f>
        <v>1</v>
      </c>
      <c r="L20" s="6">
        <f t="shared" ref="L20:L80" ca="1" si="15">INDIRECT(ADDRESS(K20+4,18))</f>
        <v>0</v>
      </c>
      <c r="M20" s="6">
        <f t="shared" ref="M20:M80" ca="1" si="16">INDIRECT(ADDRESS(K20+5,18))</f>
        <v>0.5</v>
      </c>
      <c r="N20" s="6">
        <f t="shared" ref="N20:N80" ca="1" si="17">INDIRECT(ADDRESS(K20+4,22))</f>
        <v>0</v>
      </c>
      <c r="O20" s="7">
        <f t="shared" ref="O20:O80" ca="1" si="18">INDIRECT(ADDRESS(K20+5,22))</f>
        <v>-2.6000000000081513E-5</v>
      </c>
      <c r="R20">
        <v>7.5</v>
      </c>
      <c r="S20">
        <v>7.5005899999999999</v>
      </c>
      <c r="T20" s="42">
        <f>-'OC3000 Values'!F21</f>
        <v>-2.2900000000003473E-4</v>
      </c>
      <c r="U20" s="42">
        <f t="shared" si="10"/>
        <v>7.5003609999999998</v>
      </c>
      <c r="V20" s="42">
        <f t="shared" si="11"/>
        <v>-3.6099999999983368E-4</v>
      </c>
    </row>
    <row r="21" spans="3:22" ht="15" thickBot="1" x14ac:dyDescent="0.35">
      <c r="C21">
        <f t="shared" si="6"/>
        <v>0.32</v>
      </c>
      <c r="D21">
        <v>3.2</v>
      </c>
      <c r="E21" s="8">
        <v>3.2003900000000001</v>
      </c>
      <c r="F21" s="8">
        <f t="shared" si="7"/>
        <v>3.8999999999989043E-4</v>
      </c>
      <c r="G21" s="1">
        <f t="shared" ca="1" si="8"/>
        <v>-1.1280000000004622E-4</v>
      </c>
      <c r="H21" s="46">
        <f t="shared" ca="1" si="9"/>
        <v>-2.7719999999984422E-4</v>
      </c>
      <c r="I21" s="44">
        <f t="shared" si="12"/>
        <v>0.6</v>
      </c>
      <c r="J21" s="45">
        <f t="shared" ca="1" si="13"/>
        <v>-1.2000000000078617E-5</v>
      </c>
      <c r="K21" s="6">
        <f t="shared" si="14"/>
        <v>2</v>
      </c>
      <c r="L21" s="6">
        <f t="shared" ca="1" si="15"/>
        <v>0.5</v>
      </c>
      <c r="M21" s="6">
        <f t="shared" ca="1" si="16"/>
        <v>1</v>
      </c>
      <c r="N21" s="6">
        <f t="shared" ca="1" si="17"/>
        <v>-2.6000000000081513E-5</v>
      </c>
      <c r="O21" s="7">
        <f t="shared" ca="1" si="18"/>
        <v>4.3999999999932982E-5</v>
      </c>
      <c r="R21">
        <v>8</v>
      </c>
      <c r="S21">
        <v>8.0006000000000004</v>
      </c>
      <c r="T21" s="42">
        <f>-'OC3000 Values'!F22</f>
        <v>-2.469999999998862E-4</v>
      </c>
      <c r="U21" s="42">
        <f t="shared" si="10"/>
        <v>8.0003530000000005</v>
      </c>
      <c r="V21" s="42">
        <f t="shared" si="11"/>
        <v>-3.5300000000049181E-4</v>
      </c>
    </row>
    <row r="22" spans="3:22" ht="15" thickBot="1" x14ac:dyDescent="0.35">
      <c r="C22">
        <f t="shared" si="6"/>
        <v>0.33999999999999997</v>
      </c>
      <c r="D22">
        <v>3.4</v>
      </c>
      <c r="E22" s="8">
        <v>3.4004799999999999</v>
      </c>
      <c r="F22" s="8">
        <f t="shared" si="7"/>
        <v>4.8000000000003595E-4</v>
      </c>
      <c r="G22" s="1">
        <f t="shared" ca="1" si="8"/>
        <v>-1.336000000001114E-4</v>
      </c>
      <c r="H22" s="46">
        <f t="shared" ca="1" si="9"/>
        <v>-3.4639999999992456E-4</v>
      </c>
      <c r="I22" s="44">
        <f t="shared" si="12"/>
        <v>0.8</v>
      </c>
      <c r="J22" s="45">
        <f t="shared" ca="1" si="13"/>
        <v>1.5999999999927192E-5</v>
      </c>
      <c r="K22" s="6">
        <f t="shared" si="14"/>
        <v>2</v>
      </c>
      <c r="L22" s="6">
        <f t="shared" ca="1" si="15"/>
        <v>0.5</v>
      </c>
      <c r="M22" s="6">
        <f t="shared" ca="1" si="16"/>
        <v>1</v>
      </c>
      <c r="N22" s="6">
        <f t="shared" ca="1" si="17"/>
        <v>-2.6000000000081513E-5</v>
      </c>
      <c r="O22" s="7">
        <f t="shared" ca="1" si="18"/>
        <v>4.3999999999932982E-5</v>
      </c>
    </row>
    <row r="23" spans="3:22" ht="15" thickBot="1" x14ac:dyDescent="0.35">
      <c r="C23">
        <f t="shared" si="6"/>
        <v>0.36</v>
      </c>
      <c r="D23">
        <v>3.6</v>
      </c>
      <c r="E23" s="8">
        <v>3.6003799999999999</v>
      </c>
      <c r="F23" s="8">
        <f t="shared" si="7"/>
        <v>3.7999999999982492E-4</v>
      </c>
      <c r="G23" s="1">
        <f t="shared" ca="1" si="8"/>
        <v>-1.5300000000006975E-4</v>
      </c>
      <c r="H23" s="46">
        <f t="shared" ca="1" si="9"/>
        <v>-2.2699999999975518E-4</v>
      </c>
      <c r="I23" s="44">
        <f t="shared" si="12"/>
        <v>1</v>
      </c>
      <c r="J23" s="45">
        <f t="shared" ca="1" si="13"/>
        <v>4.3999999999932982E-5</v>
      </c>
      <c r="K23" s="6">
        <f t="shared" si="14"/>
        <v>2</v>
      </c>
      <c r="L23" s="6">
        <f t="shared" ca="1" si="15"/>
        <v>0.5</v>
      </c>
      <c r="M23" s="6">
        <f t="shared" ca="1" si="16"/>
        <v>1</v>
      </c>
      <c r="N23" s="6">
        <f t="shared" ca="1" si="17"/>
        <v>-2.6000000000081513E-5</v>
      </c>
      <c r="O23" s="7">
        <f t="shared" ca="1" si="18"/>
        <v>4.3999999999932982E-5</v>
      </c>
    </row>
    <row r="24" spans="3:22" ht="15" thickBot="1" x14ac:dyDescent="0.35">
      <c r="C24">
        <f t="shared" si="6"/>
        <v>0.38</v>
      </c>
      <c r="D24">
        <v>3.8</v>
      </c>
      <c r="E24" s="8">
        <v>3.8006799999999998</v>
      </c>
      <c r="F24" s="8">
        <f t="shared" si="7"/>
        <v>6.8000000000001393E-4</v>
      </c>
      <c r="G24" s="1">
        <f t="shared" ca="1" si="8"/>
        <v>-1.7099999999992119E-4</v>
      </c>
      <c r="H24" s="46">
        <f t="shared" ca="1" si="9"/>
        <v>-5.0900000000009271E-4</v>
      </c>
      <c r="I24" s="44">
        <f t="shared" si="12"/>
        <v>1.2</v>
      </c>
      <c r="J24" s="45">
        <f t="shared" ca="1" si="13"/>
        <v>7.9999999999636026E-6</v>
      </c>
      <c r="K24" s="6">
        <f t="shared" si="14"/>
        <v>3</v>
      </c>
      <c r="L24" s="6">
        <f t="shared" ca="1" si="15"/>
        <v>1</v>
      </c>
      <c r="M24" s="6">
        <f t="shared" ca="1" si="16"/>
        <v>1.5</v>
      </c>
      <c r="N24" s="6">
        <f t="shared" ca="1" si="17"/>
        <v>4.3999999999932982E-5</v>
      </c>
      <c r="O24" s="7">
        <f t="shared" ca="1" si="18"/>
        <v>-4.5999999999990493E-5</v>
      </c>
    </row>
    <row r="25" spans="3:22" ht="15" thickBot="1" x14ac:dyDescent="0.35">
      <c r="C25">
        <f t="shared" si="6"/>
        <v>0.4</v>
      </c>
      <c r="D25">
        <v>4</v>
      </c>
      <c r="E25" s="8">
        <v>4.0004999999999997</v>
      </c>
      <c r="F25" s="8">
        <f t="shared" si="7"/>
        <v>4.9999999999972289E-4</v>
      </c>
      <c r="G25" s="1">
        <f t="shared" ca="1" si="8"/>
        <v>-1.8899999999977268E-4</v>
      </c>
      <c r="H25" s="46">
        <f t="shared" ca="1" si="9"/>
        <v>-3.1099999999995021E-4</v>
      </c>
      <c r="I25" s="44">
        <f t="shared" si="12"/>
        <v>1.4</v>
      </c>
      <c r="J25" s="45">
        <f t="shared" ca="1" si="13"/>
        <v>-2.8000000000005776E-5</v>
      </c>
      <c r="K25" s="6">
        <f t="shared" si="14"/>
        <v>3</v>
      </c>
      <c r="L25" s="6">
        <f t="shared" ca="1" si="15"/>
        <v>1</v>
      </c>
      <c r="M25" s="6">
        <f t="shared" ca="1" si="16"/>
        <v>1.5</v>
      </c>
      <c r="N25" s="6">
        <f t="shared" ca="1" si="17"/>
        <v>4.3999999999932982E-5</v>
      </c>
      <c r="O25" s="7">
        <f t="shared" ca="1" si="18"/>
        <v>-4.5999999999990493E-5</v>
      </c>
    </row>
    <row r="26" spans="3:22" ht="15" thickBot="1" x14ac:dyDescent="0.35">
      <c r="C26">
        <f t="shared" si="6"/>
        <v>0.42000000000000004</v>
      </c>
      <c r="D26">
        <v>4.2</v>
      </c>
      <c r="E26" s="8">
        <v>4.20059</v>
      </c>
      <c r="F26" s="8">
        <f t="shared" si="7"/>
        <v>5.8999999999986841E-4</v>
      </c>
      <c r="G26" s="1">
        <f t="shared" ca="1" si="8"/>
        <v>-1.7939999999985189E-4</v>
      </c>
      <c r="H26" s="46">
        <f t="shared" ca="1" si="9"/>
        <v>-4.1060000000001649E-4</v>
      </c>
      <c r="I26" s="44">
        <f t="shared" si="12"/>
        <v>1.6</v>
      </c>
      <c r="J26" s="45">
        <f t="shared" ca="1" si="13"/>
        <v>-4.0400000000051499E-5</v>
      </c>
      <c r="K26" s="6">
        <f t="shared" si="14"/>
        <v>4</v>
      </c>
      <c r="L26" s="6">
        <f t="shared" ca="1" si="15"/>
        <v>1.5</v>
      </c>
      <c r="M26" s="6">
        <f t="shared" ca="1" si="16"/>
        <v>2</v>
      </c>
      <c r="N26" s="6">
        <f t="shared" ca="1" si="17"/>
        <v>-4.5999999999990493E-5</v>
      </c>
      <c r="O26" s="7">
        <f t="shared" ca="1" si="18"/>
        <v>-1.8000000000295557E-5</v>
      </c>
    </row>
    <row r="27" spans="3:22" ht="15" thickBot="1" x14ac:dyDescent="0.35">
      <c r="C27">
        <f t="shared" si="6"/>
        <v>0.44000000000000006</v>
      </c>
      <c r="D27">
        <v>4.4000000000000004</v>
      </c>
      <c r="E27" s="8">
        <v>4.4006499999999997</v>
      </c>
      <c r="F27" s="8">
        <f t="shared" si="7"/>
        <v>6.499999999993733E-4</v>
      </c>
      <c r="G27" s="1">
        <f t="shared" ca="1" si="8"/>
        <v>-1.6979999999993111E-4</v>
      </c>
      <c r="H27" s="46">
        <f t="shared" ca="1" si="9"/>
        <v>-4.801999999994422E-4</v>
      </c>
      <c r="I27" s="44">
        <f t="shared" si="12"/>
        <v>1.8</v>
      </c>
      <c r="J27" s="45">
        <f t="shared" ca="1" si="13"/>
        <v>-2.9200000000173528E-5</v>
      </c>
      <c r="K27" s="6">
        <f t="shared" si="14"/>
        <v>4</v>
      </c>
      <c r="L27" s="6">
        <f t="shared" ca="1" si="15"/>
        <v>1.5</v>
      </c>
      <c r="M27" s="6">
        <f t="shared" ca="1" si="16"/>
        <v>2</v>
      </c>
      <c r="N27" s="6">
        <f t="shared" ca="1" si="17"/>
        <v>-4.5999999999990493E-5</v>
      </c>
      <c r="O27" s="7">
        <f t="shared" ca="1" si="18"/>
        <v>-1.8000000000295557E-5</v>
      </c>
    </row>
    <row r="28" spans="3:22" ht="15" thickBot="1" x14ac:dyDescent="0.35">
      <c r="C28">
        <f t="shared" si="6"/>
        <v>0.45999999999999996</v>
      </c>
      <c r="D28">
        <v>4.5999999999999996</v>
      </c>
      <c r="E28" s="8">
        <v>4.6006200000000002</v>
      </c>
      <c r="F28" s="8">
        <f t="shared" si="7"/>
        <v>6.2000000000050903E-4</v>
      </c>
      <c r="G28" s="1">
        <f t="shared" ca="1" si="8"/>
        <v>-1.7720000000007725E-4</v>
      </c>
      <c r="H28" s="46">
        <f t="shared" ca="1" si="9"/>
        <v>-4.4280000000043176E-4</v>
      </c>
      <c r="I28" s="44">
        <f t="shared" si="12"/>
        <v>2</v>
      </c>
      <c r="J28" s="45">
        <f t="shared" ca="1" si="13"/>
        <v>-1.8000000000295557E-5</v>
      </c>
      <c r="K28" s="6">
        <f t="shared" si="14"/>
        <v>4</v>
      </c>
      <c r="L28" s="6">
        <f t="shared" ca="1" si="15"/>
        <v>1.5</v>
      </c>
      <c r="M28" s="6">
        <f t="shared" ca="1" si="16"/>
        <v>2</v>
      </c>
      <c r="N28" s="6">
        <f t="shared" ca="1" si="17"/>
        <v>-4.5999999999990493E-5</v>
      </c>
      <c r="O28" s="7">
        <f t="shared" ca="1" si="18"/>
        <v>-1.8000000000295557E-5</v>
      </c>
    </row>
    <row r="29" spans="3:22" ht="15" thickBot="1" x14ac:dyDescent="0.35">
      <c r="C29">
        <f t="shared" si="6"/>
        <v>0.48</v>
      </c>
      <c r="D29">
        <v>4.8</v>
      </c>
      <c r="E29" s="8">
        <v>4.8006799999999998</v>
      </c>
      <c r="F29" s="8">
        <f t="shared" si="7"/>
        <v>6.8000000000001393E-4</v>
      </c>
      <c r="G29" s="1">
        <f t="shared" ca="1" si="8"/>
        <v>-2.0160000000029042E-4</v>
      </c>
      <c r="H29" s="46">
        <f t="shared" ca="1" si="9"/>
        <v>-4.783999999997235E-4</v>
      </c>
      <c r="I29" s="44">
        <f t="shared" si="12"/>
        <v>2.2000000000000002</v>
      </c>
      <c r="J29" s="45">
        <f t="shared" ca="1" si="13"/>
        <v>-3.2400000000176747E-5</v>
      </c>
      <c r="K29" s="6">
        <f t="shared" si="14"/>
        <v>5</v>
      </c>
      <c r="L29" s="6">
        <f t="shared" ca="1" si="15"/>
        <v>2</v>
      </c>
      <c r="M29" s="6">
        <f t="shared" ca="1" si="16"/>
        <v>2.5</v>
      </c>
      <c r="N29" s="6">
        <f t="shared" ca="1" si="17"/>
        <v>-1.8000000000295557E-5</v>
      </c>
      <c r="O29" s="7">
        <f t="shared" ca="1" si="18"/>
        <v>-5.3999999999998494E-5</v>
      </c>
    </row>
    <row r="30" spans="3:22" ht="15" thickBot="1" x14ac:dyDescent="0.35">
      <c r="C30">
        <f t="shared" si="6"/>
        <v>0.5</v>
      </c>
      <c r="D30">
        <v>5</v>
      </c>
      <c r="E30" s="8">
        <v>5.0008600000000003</v>
      </c>
      <c r="F30" s="8">
        <f t="shared" si="7"/>
        <v>8.6000000000030496E-4</v>
      </c>
      <c r="G30" s="1">
        <f t="shared" ca="1" si="8"/>
        <v>-2.2600000000050358E-4</v>
      </c>
      <c r="H30" s="46">
        <f t="shared" ca="1" si="9"/>
        <v>-6.3399999999980139E-4</v>
      </c>
      <c r="I30" s="44">
        <f t="shared" si="12"/>
        <v>2.4</v>
      </c>
      <c r="J30" s="45">
        <f t="shared" ca="1" si="13"/>
        <v>-4.6800000000057896E-5</v>
      </c>
      <c r="K30" s="6">
        <f t="shared" si="14"/>
        <v>5</v>
      </c>
      <c r="L30" s="6">
        <f t="shared" ca="1" si="15"/>
        <v>2</v>
      </c>
      <c r="M30" s="6">
        <f t="shared" ca="1" si="16"/>
        <v>2.5</v>
      </c>
      <c r="N30" s="6">
        <f t="shared" ca="1" si="17"/>
        <v>-1.8000000000295557E-5</v>
      </c>
      <c r="O30" s="7">
        <f t="shared" ca="1" si="18"/>
        <v>-5.3999999999998494E-5</v>
      </c>
    </row>
    <row r="31" spans="3:22" ht="15" thickBot="1" x14ac:dyDescent="0.35">
      <c r="C31">
        <f t="shared" si="6"/>
        <v>0.52</v>
      </c>
      <c r="D31">
        <v>5.2</v>
      </c>
      <c r="E31" s="8">
        <v>5.2008700000000001</v>
      </c>
      <c r="F31" s="8">
        <f t="shared" si="7"/>
        <v>8.6999999999992639E-4</v>
      </c>
      <c r="G31" s="1">
        <f t="shared" ca="1" si="8"/>
        <v>-2.344000000006119E-4</v>
      </c>
      <c r="H31" s="46">
        <f t="shared" ca="1" si="9"/>
        <v>-6.3559999999931451E-4</v>
      </c>
      <c r="I31" s="44">
        <f t="shared" si="12"/>
        <v>2.6</v>
      </c>
      <c r="J31" s="45">
        <f t="shared" ca="1" si="13"/>
        <v>-6.1599999999994992E-5</v>
      </c>
      <c r="K31" s="6">
        <f t="shared" si="14"/>
        <v>6</v>
      </c>
      <c r="L31" s="6">
        <f t="shared" ca="1" si="15"/>
        <v>2.5</v>
      </c>
      <c r="M31" s="6">
        <f t="shared" ca="1" si="16"/>
        <v>3</v>
      </c>
      <c r="N31" s="6">
        <f t="shared" ca="1" si="17"/>
        <v>-5.3999999999998494E-5</v>
      </c>
      <c r="O31" s="7">
        <f t="shared" ca="1" si="18"/>
        <v>-9.1999999999980986E-5</v>
      </c>
    </row>
    <row r="32" spans="3:22" ht="15" thickBot="1" x14ac:dyDescent="0.35">
      <c r="C32">
        <f t="shared" si="6"/>
        <v>0.54</v>
      </c>
      <c r="D32">
        <v>5.4</v>
      </c>
      <c r="E32" s="8">
        <v>5.4009299999999998</v>
      </c>
      <c r="F32" s="8">
        <f t="shared" si="7"/>
        <v>9.2999999999943128E-4</v>
      </c>
      <c r="G32" s="1">
        <f t="shared" ca="1" si="8"/>
        <v>-2.4280000000072023E-4</v>
      </c>
      <c r="H32" s="46">
        <f t="shared" ca="1" si="9"/>
        <v>-6.8719999999871111E-4</v>
      </c>
      <c r="I32" s="44">
        <f t="shared" si="12"/>
        <v>2.8</v>
      </c>
      <c r="J32" s="45">
        <f t="shared" ca="1" si="13"/>
        <v>-7.6799999999987975E-5</v>
      </c>
      <c r="K32" s="6">
        <f t="shared" si="14"/>
        <v>6</v>
      </c>
      <c r="L32" s="6">
        <f t="shared" ca="1" si="15"/>
        <v>2.5</v>
      </c>
      <c r="M32" s="6">
        <f t="shared" ca="1" si="16"/>
        <v>3</v>
      </c>
      <c r="N32" s="6">
        <f t="shared" ca="1" si="17"/>
        <v>-5.3999999999998494E-5</v>
      </c>
      <c r="O32" s="7">
        <f t="shared" ca="1" si="18"/>
        <v>-9.1999999999980986E-5</v>
      </c>
    </row>
    <row r="33" spans="3:15" ht="15" thickBot="1" x14ac:dyDescent="0.35">
      <c r="C33">
        <f t="shared" si="6"/>
        <v>0.55999999999999994</v>
      </c>
      <c r="D33">
        <v>5.6</v>
      </c>
      <c r="E33" s="8">
        <v>5.6009099999999998</v>
      </c>
      <c r="F33" s="8">
        <f t="shared" si="7"/>
        <v>9.1000000000018844E-4</v>
      </c>
      <c r="G33" s="1">
        <f t="shared" ca="1" si="8"/>
        <v>-2.4540000000055072E-4</v>
      </c>
      <c r="H33" s="46">
        <f t="shared" ca="1" si="9"/>
        <v>-6.6459999999963766E-4</v>
      </c>
      <c r="I33" s="44">
        <f t="shared" si="12"/>
        <v>3</v>
      </c>
      <c r="J33" s="45">
        <f t="shared" ca="1" si="13"/>
        <v>-9.1999999999980986E-5</v>
      </c>
      <c r="K33" s="6">
        <f t="shared" si="14"/>
        <v>6</v>
      </c>
      <c r="L33" s="6">
        <f t="shared" ca="1" si="15"/>
        <v>2.5</v>
      </c>
      <c r="M33" s="6">
        <f t="shared" ca="1" si="16"/>
        <v>3</v>
      </c>
      <c r="N33" s="6">
        <f t="shared" ca="1" si="17"/>
        <v>-5.3999999999998494E-5</v>
      </c>
      <c r="O33" s="7">
        <f t="shared" ca="1" si="18"/>
        <v>-9.1999999999980986E-5</v>
      </c>
    </row>
    <row r="34" spans="3:15" ht="15" thickBot="1" x14ac:dyDescent="0.35">
      <c r="C34">
        <f t="shared" si="6"/>
        <v>0.57999999999999996</v>
      </c>
      <c r="D34">
        <v>5.8</v>
      </c>
      <c r="E34" s="8">
        <v>5.8011200000000001</v>
      </c>
      <c r="F34" s="8">
        <f t="shared" si="7"/>
        <v>1.1200000000002319E-3</v>
      </c>
      <c r="G34" s="1">
        <f t="shared" ca="1" si="8"/>
        <v>-2.4220000000010344E-4</v>
      </c>
      <c r="H34" s="46">
        <f t="shared" ca="1" si="9"/>
        <v>-8.7780000000012846E-4</v>
      </c>
      <c r="I34" s="44">
        <f t="shared" si="12"/>
        <v>3.2</v>
      </c>
      <c r="J34" s="45">
        <f t="shared" ca="1" si="13"/>
        <v>-1.1280000000004622E-4</v>
      </c>
      <c r="K34" s="6">
        <f t="shared" si="14"/>
        <v>7</v>
      </c>
      <c r="L34" s="6">
        <f t="shared" ca="1" si="15"/>
        <v>3</v>
      </c>
      <c r="M34" s="6">
        <f t="shared" ca="1" si="16"/>
        <v>3.5</v>
      </c>
      <c r="N34" s="6">
        <f t="shared" ca="1" si="17"/>
        <v>-9.1999999999980986E-5</v>
      </c>
      <c r="O34" s="7">
        <f t="shared" ca="1" si="18"/>
        <v>-1.4400000000014401E-4</v>
      </c>
    </row>
    <row r="35" spans="3:15" ht="15" thickBot="1" x14ac:dyDescent="0.35">
      <c r="C35">
        <f t="shared" si="6"/>
        <v>0.6</v>
      </c>
      <c r="D35">
        <v>6</v>
      </c>
      <c r="E35" s="8">
        <v>6.0007400000000004</v>
      </c>
      <c r="F35" s="8">
        <f t="shared" si="7"/>
        <v>7.40000000000407E-4</v>
      </c>
      <c r="G35" s="1">
        <f t="shared" ca="1" si="8"/>
        <v>-2.3899999999965615E-4</v>
      </c>
      <c r="H35" s="46">
        <f t="shared" ca="1" si="9"/>
        <v>-5.0100000000075084E-4</v>
      </c>
      <c r="I35" s="44">
        <f t="shared" si="12"/>
        <v>3.4</v>
      </c>
      <c r="J35" s="45">
        <f t="shared" ca="1" si="13"/>
        <v>-1.336000000001114E-4</v>
      </c>
      <c r="K35" s="6">
        <f t="shared" si="14"/>
        <v>7</v>
      </c>
      <c r="L35" s="6">
        <f t="shared" ca="1" si="15"/>
        <v>3</v>
      </c>
      <c r="M35" s="6">
        <f t="shared" ca="1" si="16"/>
        <v>3.5</v>
      </c>
      <c r="N35" s="6">
        <f t="shared" ca="1" si="17"/>
        <v>-9.1999999999980986E-5</v>
      </c>
      <c r="O35" s="7">
        <f t="shared" ca="1" si="18"/>
        <v>-1.4400000000014401E-4</v>
      </c>
    </row>
    <row r="36" spans="3:15" ht="15" thickBot="1" x14ac:dyDescent="0.35">
      <c r="C36">
        <f t="shared" si="6"/>
        <v>0.62</v>
      </c>
      <c r="D36">
        <v>6.2</v>
      </c>
      <c r="E36" s="8">
        <v>6.2007599999999998</v>
      </c>
      <c r="F36" s="8">
        <f t="shared" si="7"/>
        <v>7.5999999999964984E-4</v>
      </c>
      <c r="G36" s="1">
        <f t="shared" ca="1" si="8"/>
        <v>-2.225999999998507E-4</v>
      </c>
      <c r="H36" s="46">
        <f t="shared" ca="1" si="9"/>
        <v>-5.3739999999979915E-4</v>
      </c>
      <c r="I36" s="44">
        <f t="shared" si="12"/>
        <v>3.6</v>
      </c>
      <c r="J36" s="45">
        <f t="shared" ca="1" si="13"/>
        <v>-1.5300000000006975E-4</v>
      </c>
      <c r="K36" s="6">
        <f t="shared" si="14"/>
        <v>8</v>
      </c>
      <c r="L36" s="6">
        <f t="shared" ca="1" si="15"/>
        <v>3.5</v>
      </c>
      <c r="M36" s="6">
        <f t="shared" ca="1" si="16"/>
        <v>4</v>
      </c>
      <c r="N36" s="6">
        <f t="shared" ca="1" si="17"/>
        <v>-1.4400000000014401E-4</v>
      </c>
      <c r="O36" s="7">
        <f t="shared" ca="1" si="18"/>
        <v>-1.8899999999977268E-4</v>
      </c>
    </row>
    <row r="37" spans="3:15" ht="15" thickBot="1" x14ac:dyDescent="0.35">
      <c r="C37">
        <f t="shared" si="6"/>
        <v>0.64</v>
      </c>
      <c r="D37">
        <v>6.4</v>
      </c>
      <c r="E37" s="8">
        <v>6.4008200000000004</v>
      </c>
      <c r="F37" s="8">
        <f t="shared" si="7"/>
        <v>8.2000000000004292E-4</v>
      </c>
      <c r="G37" s="1">
        <f t="shared" ca="1" si="8"/>
        <v>-2.0620000000004521E-4</v>
      </c>
      <c r="H37" s="46">
        <f t="shared" ca="1" si="9"/>
        <v>-6.1379999999999768E-4</v>
      </c>
      <c r="I37" s="44">
        <f t="shared" si="12"/>
        <v>3.8</v>
      </c>
      <c r="J37" s="45">
        <f t="shared" ca="1" si="13"/>
        <v>-1.7099999999992119E-4</v>
      </c>
      <c r="K37" s="6">
        <f t="shared" si="14"/>
        <v>8</v>
      </c>
      <c r="L37" s="6">
        <f t="shared" ca="1" si="15"/>
        <v>3.5</v>
      </c>
      <c r="M37" s="6">
        <f t="shared" ca="1" si="16"/>
        <v>4</v>
      </c>
      <c r="N37" s="6">
        <f t="shared" ca="1" si="17"/>
        <v>-1.4400000000014401E-4</v>
      </c>
      <c r="O37" s="7">
        <f t="shared" ca="1" si="18"/>
        <v>-1.8899999999977268E-4</v>
      </c>
    </row>
    <row r="38" spans="3:15" ht="15" thickBot="1" x14ac:dyDescent="0.35">
      <c r="C38">
        <f t="shared" si="6"/>
        <v>0.65999999999999992</v>
      </c>
      <c r="D38">
        <v>6.6</v>
      </c>
      <c r="E38" s="8">
        <v>6.6008699999999996</v>
      </c>
      <c r="F38" s="8">
        <f t="shared" si="7"/>
        <v>8.6999999999992639E-4</v>
      </c>
      <c r="G38" s="1">
        <f t="shared" ca="1" si="8"/>
        <v>-2.2920000000006257E-4</v>
      </c>
      <c r="H38" s="46">
        <f t="shared" ca="1" si="9"/>
        <v>-6.4079999999986379E-4</v>
      </c>
      <c r="I38" s="44">
        <f t="shared" si="12"/>
        <v>4</v>
      </c>
      <c r="J38" s="45">
        <f t="shared" ca="1" si="13"/>
        <v>-1.8899999999977268E-4</v>
      </c>
      <c r="K38" s="6">
        <f t="shared" si="14"/>
        <v>8</v>
      </c>
      <c r="L38" s="6">
        <f t="shared" ca="1" si="15"/>
        <v>3.5</v>
      </c>
      <c r="M38" s="6">
        <f t="shared" ca="1" si="16"/>
        <v>4</v>
      </c>
      <c r="N38" s="6">
        <f t="shared" ca="1" si="17"/>
        <v>-1.4400000000014401E-4</v>
      </c>
      <c r="O38" s="7">
        <f t="shared" ca="1" si="18"/>
        <v>-1.8899999999977268E-4</v>
      </c>
    </row>
    <row r="39" spans="3:15" ht="15" thickBot="1" x14ac:dyDescent="0.35">
      <c r="C39">
        <f t="shared" si="6"/>
        <v>0.67999999999999994</v>
      </c>
      <c r="D39">
        <v>6.8</v>
      </c>
      <c r="E39" s="8">
        <v>6.8009700000000004</v>
      </c>
      <c r="F39" s="8">
        <f t="shared" si="7"/>
        <v>9.7000000000058151E-4</v>
      </c>
      <c r="G39" s="1">
        <f t="shared" ca="1" si="8"/>
        <v>-2.91599999999903E-4</v>
      </c>
      <c r="H39" s="46">
        <f t="shared" ca="1" si="9"/>
        <v>-6.784000000006785E-4</v>
      </c>
      <c r="I39" s="44">
        <f t="shared" si="12"/>
        <v>4.2</v>
      </c>
      <c r="J39" s="45">
        <f t="shared" ca="1" si="13"/>
        <v>-1.7939999999985189E-4</v>
      </c>
      <c r="K39" s="6">
        <f t="shared" si="14"/>
        <v>9</v>
      </c>
      <c r="L39" s="6">
        <f t="shared" ca="1" si="15"/>
        <v>4</v>
      </c>
      <c r="M39" s="6">
        <f t="shared" ca="1" si="16"/>
        <v>4.5</v>
      </c>
      <c r="N39" s="6">
        <f t="shared" ca="1" si="17"/>
        <v>-1.8899999999977268E-4</v>
      </c>
      <c r="O39" s="7">
        <f t="shared" ca="1" si="18"/>
        <v>-1.6499999999997073E-4</v>
      </c>
    </row>
    <row r="40" spans="3:15" ht="15" thickBot="1" x14ac:dyDescent="0.35">
      <c r="C40">
        <f t="shared" si="6"/>
        <v>0.7</v>
      </c>
      <c r="D40">
        <v>7</v>
      </c>
      <c r="E40" s="8">
        <v>7.0009499999999996</v>
      </c>
      <c r="F40" s="8">
        <f t="shared" si="7"/>
        <v>9.4999999999956231E-4</v>
      </c>
      <c r="G40" s="1">
        <f t="shared" ca="1" si="8"/>
        <v>-3.5399999999974341E-4</v>
      </c>
      <c r="H40" s="46">
        <f t="shared" ca="1" si="9"/>
        <v>-5.959999999998189E-4</v>
      </c>
      <c r="I40" s="44">
        <f t="shared" si="12"/>
        <v>4.4000000000000004</v>
      </c>
      <c r="J40" s="45">
        <f t="shared" ca="1" si="13"/>
        <v>-1.6979999999993111E-4</v>
      </c>
      <c r="K40" s="6">
        <f t="shared" si="14"/>
        <v>9</v>
      </c>
      <c r="L40" s="6">
        <f t="shared" ca="1" si="15"/>
        <v>4</v>
      </c>
      <c r="M40" s="6">
        <f t="shared" ca="1" si="16"/>
        <v>4.5</v>
      </c>
      <c r="N40" s="6">
        <f t="shared" ca="1" si="17"/>
        <v>-1.8899999999977268E-4</v>
      </c>
      <c r="O40" s="7">
        <f t="shared" ca="1" si="18"/>
        <v>-1.6499999999997073E-4</v>
      </c>
    </row>
    <row r="41" spans="3:15" ht="15" thickBot="1" x14ac:dyDescent="0.35">
      <c r="C41">
        <f t="shared" si="6"/>
        <v>0.72</v>
      </c>
      <c r="D41">
        <v>7.2</v>
      </c>
      <c r="E41" s="8">
        <v>7.2012</v>
      </c>
      <c r="F41" s="8">
        <f t="shared" si="7"/>
        <v>1.1999999999998678E-3</v>
      </c>
      <c r="G41" s="1">
        <f t="shared" ca="1" si="8"/>
        <v>-3.5679999999977953E-4</v>
      </c>
      <c r="H41" s="46">
        <f t="shared" ca="1" si="9"/>
        <v>-8.4320000000008837E-4</v>
      </c>
      <c r="I41" s="44">
        <f t="shared" si="12"/>
        <v>4.5999999999999996</v>
      </c>
      <c r="J41" s="45">
        <f t="shared" ca="1" si="13"/>
        <v>-1.7720000000007725E-4</v>
      </c>
      <c r="K41" s="6">
        <f t="shared" si="14"/>
        <v>10</v>
      </c>
      <c r="L41" s="6">
        <f t="shared" ca="1" si="15"/>
        <v>4.5</v>
      </c>
      <c r="M41" s="6">
        <f t="shared" ca="1" si="16"/>
        <v>5</v>
      </c>
      <c r="N41" s="6">
        <f t="shared" ca="1" si="17"/>
        <v>-1.6499999999997073E-4</v>
      </c>
      <c r="O41" s="7">
        <f t="shared" ca="1" si="18"/>
        <v>-2.2600000000050358E-4</v>
      </c>
    </row>
    <row r="42" spans="3:15" ht="15" thickBot="1" x14ac:dyDescent="0.35">
      <c r="C42">
        <f t="shared" si="6"/>
        <v>0.74</v>
      </c>
      <c r="D42">
        <v>7.4</v>
      </c>
      <c r="E42" s="8">
        <v>7.4011399999999998</v>
      </c>
      <c r="F42" s="8">
        <f t="shared" si="7"/>
        <v>1.1399999999994748E-3</v>
      </c>
      <c r="G42" s="1">
        <f t="shared" ca="1" si="8"/>
        <v>-3.5959999999981564E-4</v>
      </c>
      <c r="H42" s="46">
        <f t="shared" ca="1" si="9"/>
        <v>-7.8039999999965912E-4</v>
      </c>
      <c r="I42" s="44">
        <f t="shared" si="12"/>
        <v>4.8</v>
      </c>
      <c r="J42" s="45">
        <f t="shared" ca="1" si="13"/>
        <v>-2.0160000000029042E-4</v>
      </c>
      <c r="K42" s="6">
        <f t="shared" si="14"/>
        <v>10</v>
      </c>
      <c r="L42" s="6">
        <f t="shared" ca="1" si="15"/>
        <v>4.5</v>
      </c>
      <c r="M42" s="6">
        <f t="shared" ca="1" si="16"/>
        <v>5</v>
      </c>
      <c r="N42" s="6">
        <f t="shared" ca="1" si="17"/>
        <v>-1.6499999999997073E-4</v>
      </c>
      <c r="O42" s="7">
        <f t="shared" ca="1" si="18"/>
        <v>-2.2600000000050358E-4</v>
      </c>
    </row>
    <row r="43" spans="3:15" ht="15" thickBot="1" x14ac:dyDescent="0.35">
      <c r="C43">
        <f t="shared" si="6"/>
        <v>0.76</v>
      </c>
      <c r="D43">
        <v>7.6</v>
      </c>
      <c r="E43" s="8">
        <v>7.6010799999999996</v>
      </c>
      <c r="F43" s="8">
        <f t="shared" si="7"/>
        <v>1.0799999999999699E-3</v>
      </c>
      <c r="G43" s="1">
        <f t="shared" ca="1" si="8"/>
        <v>-3.5939999999996531E-4</v>
      </c>
      <c r="H43" s="46">
        <f t="shared" ca="1" si="9"/>
        <v>-7.2060000000000461E-4</v>
      </c>
      <c r="I43" s="44">
        <f t="shared" si="12"/>
        <v>5</v>
      </c>
      <c r="J43" s="45">
        <f t="shared" ca="1" si="13"/>
        <v>-2.2600000000050358E-4</v>
      </c>
      <c r="K43" s="6">
        <f t="shared" si="14"/>
        <v>10</v>
      </c>
      <c r="L43" s="6">
        <f t="shared" ca="1" si="15"/>
        <v>4.5</v>
      </c>
      <c r="M43" s="6">
        <f t="shared" ca="1" si="16"/>
        <v>5</v>
      </c>
      <c r="N43" s="6">
        <f t="shared" ca="1" si="17"/>
        <v>-1.6499999999997073E-4</v>
      </c>
      <c r="O43" s="7">
        <f t="shared" ca="1" si="18"/>
        <v>-2.2600000000050358E-4</v>
      </c>
    </row>
    <row r="44" spans="3:15" ht="15" thickBot="1" x14ac:dyDescent="0.35">
      <c r="C44">
        <f t="shared" si="6"/>
        <v>0.78</v>
      </c>
      <c r="D44">
        <v>7.8</v>
      </c>
      <c r="E44" s="8">
        <v>7.8012899999999998</v>
      </c>
      <c r="F44" s="8">
        <f t="shared" si="7"/>
        <v>1.2900000000000134E-3</v>
      </c>
      <c r="G44" s="1">
        <f t="shared" ca="1" si="8"/>
        <v>-3.5620000000022853E-4</v>
      </c>
      <c r="H44" s="46">
        <f t="shared" ca="1" si="9"/>
        <v>-9.3379999999978482E-4</v>
      </c>
      <c r="I44" s="44">
        <f t="shared" si="12"/>
        <v>5.2</v>
      </c>
      <c r="J44" s="45">
        <f t="shared" ca="1" si="13"/>
        <v>-2.344000000006119E-4</v>
      </c>
      <c r="K44" s="6">
        <f t="shared" si="14"/>
        <v>11</v>
      </c>
      <c r="L44" s="6">
        <f t="shared" ca="1" si="15"/>
        <v>5</v>
      </c>
      <c r="M44" s="6">
        <f t="shared" ca="1" si="16"/>
        <v>5.5</v>
      </c>
      <c r="N44" s="6">
        <f t="shared" ca="1" si="17"/>
        <v>-2.2600000000050358E-4</v>
      </c>
      <c r="O44" s="7">
        <f t="shared" ca="1" si="18"/>
        <v>-2.4700000000077438E-4</v>
      </c>
    </row>
    <row r="45" spans="3:15" ht="15" thickBot="1" x14ac:dyDescent="0.35">
      <c r="C45">
        <f t="shared" si="6"/>
        <v>0.8</v>
      </c>
      <c r="D45">
        <v>8</v>
      </c>
      <c r="E45" s="8">
        <v>8.0010700000000003</v>
      </c>
      <c r="F45" s="8">
        <f t="shared" si="7"/>
        <v>1.0700000000003485E-3</v>
      </c>
      <c r="G45" s="1">
        <f t="shared" ca="1" si="8"/>
        <v>-3.5300000000049181E-4</v>
      </c>
      <c r="H45" s="46">
        <f t="shared" ca="1" si="9"/>
        <v>-7.1699999999985664E-4</v>
      </c>
      <c r="I45" s="44">
        <f t="shared" si="12"/>
        <v>5.4</v>
      </c>
      <c r="J45" s="45">
        <f t="shared" ca="1" si="13"/>
        <v>-2.4280000000072023E-4</v>
      </c>
      <c r="K45" s="6">
        <f t="shared" si="14"/>
        <v>11</v>
      </c>
      <c r="L45" s="6">
        <f t="shared" ca="1" si="15"/>
        <v>5</v>
      </c>
      <c r="M45" s="6">
        <f t="shared" ca="1" si="16"/>
        <v>5.5</v>
      </c>
      <c r="N45" s="6">
        <f t="shared" ca="1" si="17"/>
        <v>-2.2600000000050358E-4</v>
      </c>
      <c r="O45" s="7">
        <f t="shared" ca="1" si="18"/>
        <v>-2.4700000000077438E-4</v>
      </c>
    </row>
    <row r="46" spans="3:15" ht="15" thickBot="1" x14ac:dyDescent="0.35">
      <c r="C46">
        <f t="shared" si="6"/>
        <v>0.82</v>
      </c>
      <c r="D46">
        <v>8.1999999999999993</v>
      </c>
      <c r="E46" s="8">
        <v>8.2002100000000002</v>
      </c>
      <c r="F46" s="8">
        <f t="shared" si="7"/>
        <v>2.1000000000093166E-4</v>
      </c>
      <c r="G46" s="1">
        <f t="shared" ca="1" si="8"/>
        <v>-3.6182500000050407E-4</v>
      </c>
      <c r="H46" s="46">
        <f ca="1">-(F46+G6)</f>
        <v>-1.9960000000089905E-4</v>
      </c>
      <c r="I46" s="44">
        <f t="shared" si="12"/>
        <v>5.6</v>
      </c>
      <c r="J46" s="45">
        <f t="shared" ca="1" si="13"/>
        <v>-2.4540000000055072E-4</v>
      </c>
      <c r="K46" s="6">
        <f t="shared" si="14"/>
        <v>12</v>
      </c>
      <c r="L46" s="6">
        <f t="shared" ca="1" si="15"/>
        <v>5.5</v>
      </c>
      <c r="M46" s="6">
        <f t="shared" ca="1" si="16"/>
        <v>6</v>
      </c>
      <c r="N46" s="6">
        <f t="shared" ca="1" si="17"/>
        <v>-2.4700000000077438E-4</v>
      </c>
      <c r="O46" s="7">
        <f t="shared" ca="1" si="18"/>
        <v>-2.3899999999965615E-4</v>
      </c>
    </row>
    <row r="47" spans="3:15" ht="15" thickBot="1" x14ac:dyDescent="0.35">
      <c r="C47">
        <f t="shared" si="6"/>
        <v>0.84000000000000008</v>
      </c>
      <c r="D47">
        <v>8.4</v>
      </c>
      <c r="E47" s="8">
        <v>8.4002700000000008</v>
      </c>
      <c r="F47" s="8">
        <f t="shared" si="7"/>
        <v>2.7000000000043656E-4</v>
      </c>
      <c r="G47" s="1">
        <f t="shared" ca="1" si="8"/>
        <v>-3.7065000000051644E-4</v>
      </c>
      <c r="H47" s="46">
        <f t="shared" ref="H47:H65" ca="1" si="19">-(F47+G7)</f>
        <v>-2.4920000000037133E-4</v>
      </c>
      <c r="I47" s="44">
        <f t="shared" si="12"/>
        <v>5.8</v>
      </c>
      <c r="J47" s="45">
        <f t="shared" ca="1" si="13"/>
        <v>-2.4220000000010344E-4</v>
      </c>
      <c r="K47" s="6">
        <f t="shared" si="14"/>
        <v>12</v>
      </c>
      <c r="L47" s="6">
        <f t="shared" ca="1" si="15"/>
        <v>5.5</v>
      </c>
      <c r="M47" s="6">
        <f t="shared" ca="1" si="16"/>
        <v>6</v>
      </c>
      <c r="N47" s="6">
        <f t="shared" ca="1" si="17"/>
        <v>-2.4700000000077438E-4</v>
      </c>
      <c r="O47" s="7">
        <f t="shared" ca="1" si="18"/>
        <v>-2.3899999999965615E-4</v>
      </c>
    </row>
    <row r="48" spans="3:15" ht="15" thickBot="1" x14ac:dyDescent="0.35">
      <c r="C48">
        <f t="shared" si="6"/>
        <v>0.86</v>
      </c>
      <c r="D48">
        <v>8.6</v>
      </c>
      <c r="E48" s="8">
        <v>8.6002500000000008</v>
      </c>
      <c r="F48" s="8">
        <f t="shared" si="7"/>
        <v>2.5000000000119371E-4</v>
      </c>
      <c r="G48" s="1">
        <f t="shared" ca="1" si="8"/>
        <v>-3.7947500000052865E-4</v>
      </c>
      <c r="H48" s="46">
        <f t="shared" ca="1" si="19"/>
        <v>-2.3800000000111509E-4</v>
      </c>
      <c r="I48" s="44">
        <f t="shared" si="12"/>
        <v>6</v>
      </c>
      <c r="J48" s="45">
        <f t="shared" ca="1" si="13"/>
        <v>-2.3899999999965615E-4</v>
      </c>
      <c r="K48" s="6">
        <f t="shared" si="14"/>
        <v>12</v>
      </c>
      <c r="L48" s="6">
        <f t="shared" ca="1" si="15"/>
        <v>5.5</v>
      </c>
      <c r="M48" s="6">
        <f t="shared" ca="1" si="16"/>
        <v>6</v>
      </c>
      <c r="N48" s="6">
        <f t="shared" ca="1" si="17"/>
        <v>-2.4700000000077438E-4</v>
      </c>
      <c r="O48" s="7">
        <f t="shared" ca="1" si="18"/>
        <v>-2.3899999999965615E-4</v>
      </c>
    </row>
    <row r="49" spans="3:15" ht="15" thickBot="1" x14ac:dyDescent="0.35">
      <c r="C49">
        <f t="shared" si="6"/>
        <v>0.88000000000000012</v>
      </c>
      <c r="D49">
        <v>8.8000000000000007</v>
      </c>
      <c r="E49" s="8">
        <v>8.8003</v>
      </c>
      <c r="F49" s="8">
        <f t="shared" si="7"/>
        <v>2.9999999999930083E-4</v>
      </c>
      <c r="G49" s="1">
        <f t="shared" ca="1" si="8"/>
        <v>-3.8830000000054102E-4</v>
      </c>
      <c r="H49" s="46">
        <f t="shared" ca="1" si="19"/>
        <v>-3.1599999999922803E-4</v>
      </c>
      <c r="I49" s="44">
        <f t="shared" si="12"/>
        <v>6.2</v>
      </c>
      <c r="J49" s="45">
        <f t="shared" ca="1" si="13"/>
        <v>-2.225999999998507E-4</v>
      </c>
      <c r="K49" s="6">
        <f t="shared" si="14"/>
        <v>13</v>
      </c>
      <c r="L49" s="6">
        <f t="shared" ca="1" si="15"/>
        <v>6</v>
      </c>
      <c r="M49" s="6">
        <f t="shared" ca="1" si="16"/>
        <v>6.5</v>
      </c>
      <c r="N49" s="6">
        <f t="shared" ca="1" si="17"/>
        <v>-2.3899999999965615E-4</v>
      </c>
      <c r="O49" s="7">
        <f t="shared" ca="1" si="18"/>
        <v>-1.9800000000014251E-4</v>
      </c>
    </row>
    <row r="50" spans="3:15" ht="15" thickBot="1" x14ac:dyDescent="0.35">
      <c r="C50">
        <f t="shared" si="6"/>
        <v>0.9</v>
      </c>
      <c r="D50">
        <v>9</v>
      </c>
      <c r="E50" s="8">
        <v>9.0000499999999999</v>
      </c>
      <c r="F50" s="8">
        <f t="shared" si="7"/>
        <v>4.9999999999883471E-5</v>
      </c>
      <c r="G50" s="1">
        <f t="shared" ca="1" si="8"/>
        <v>-3.9712500000055329E-4</v>
      </c>
      <c r="H50" s="46">
        <f t="shared" ca="1" si="19"/>
        <v>-9.3999999999816453E-5</v>
      </c>
      <c r="I50" s="44">
        <f t="shared" si="12"/>
        <v>6.4</v>
      </c>
      <c r="J50" s="45">
        <f t="shared" ca="1" si="13"/>
        <v>-2.0620000000004521E-4</v>
      </c>
      <c r="K50" s="6">
        <f t="shared" si="14"/>
        <v>13</v>
      </c>
      <c r="L50" s="6">
        <f t="shared" ca="1" si="15"/>
        <v>6</v>
      </c>
      <c r="M50" s="6">
        <f t="shared" ca="1" si="16"/>
        <v>6.5</v>
      </c>
      <c r="N50" s="6">
        <f t="shared" ca="1" si="17"/>
        <v>-2.3899999999965615E-4</v>
      </c>
      <c r="O50" s="7">
        <f t="shared" ca="1" si="18"/>
        <v>-1.9800000000014251E-4</v>
      </c>
    </row>
    <row r="51" spans="3:15" ht="15" thickBot="1" x14ac:dyDescent="0.35">
      <c r="C51">
        <f t="shared" si="6"/>
        <v>0.91999999999999993</v>
      </c>
      <c r="D51">
        <v>9.1999999999999993</v>
      </c>
      <c r="E51" s="8">
        <v>9.2001000000000008</v>
      </c>
      <c r="F51" s="8">
        <f t="shared" si="7"/>
        <v>1.000000000015433E-4</v>
      </c>
      <c r="G51" s="1">
        <f t="shared" ca="1" si="8"/>
        <v>-4.0595000000056555E-4</v>
      </c>
      <c r="H51" s="46">
        <f t="shared" ca="1" si="19"/>
        <v>-1.080000000015069E-4</v>
      </c>
      <c r="I51" s="44">
        <f t="shared" si="12"/>
        <v>6.6</v>
      </c>
      <c r="J51" s="45">
        <f t="shared" ca="1" si="13"/>
        <v>-2.2920000000006257E-4</v>
      </c>
      <c r="K51" s="6">
        <f t="shared" si="14"/>
        <v>14</v>
      </c>
      <c r="L51" s="6">
        <f t="shared" ca="1" si="15"/>
        <v>6.5</v>
      </c>
      <c r="M51" s="6">
        <f t="shared" ca="1" si="16"/>
        <v>7</v>
      </c>
      <c r="N51" s="6">
        <f t="shared" ca="1" si="17"/>
        <v>-1.9800000000014251E-4</v>
      </c>
      <c r="O51" s="7">
        <f t="shared" ca="1" si="18"/>
        <v>-3.5399999999974341E-4</v>
      </c>
    </row>
    <row r="52" spans="3:15" ht="15" thickBot="1" x14ac:dyDescent="0.35">
      <c r="C52">
        <f t="shared" si="6"/>
        <v>0.94000000000000006</v>
      </c>
      <c r="D52">
        <v>9.4</v>
      </c>
      <c r="E52" s="8">
        <v>9.4001599999999996</v>
      </c>
      <c r="F52" s="8">
        <f t="shared" si="7"/>
        <v>1.5999999999927184E-4</v>
      </c>
      <c r="G52" s="1">
        <f t="shared" ca="1" si="8"/>
        <v>-4.1477500000057792E-4</v>
      </c>
      <c r="H52" s="46">
        <f t="shared" ca="1" si="19"/>
        <v>-1.3199999999926606E-4</v>
      </c>
      <c r="I52" s="44">
        <f t="shared" si="12"/>
        <v>6.8</v>
      </c>
      <c r="J52" s="45">
        <f t="shared" ca="1" si="13"/>
        <v>-2.91599999999903E-4</v>
      </c>
      <c r="K52" s="6">
        <f t="shared" si="14"/>
        <v>14</v>
      </c>
      <c r="L52" s="6">
        <f t="shared" ca="1" si="15"/>
        <v>6.5</v>
      </c>
      <c r="M52" s="6">
        <f t="shared" ca="1" si="16"/>
        <v>7</v>
      </c>
      <c r="N52" s="6">
        <f t="shared" ca="1" si="17"/>
        <v>-1.9800000000014251E-4</v>
      </c>
      <c r="O52" s="7">
        <f t="shared" ca="1" si="18"/>
        <v>-3.5399999999974341E-4</v>
      </c>
    </row>
    <row r="53" spans="3:15" ht="15" thickBot="1" x14ac:dyDescent="0.35">
      <c r="C53">
        <f t="shared" si="6"/>
        <v>0.96</v>
      </c>
      <c r="D53">
        <v>9.6</v>
      </c>
      <c r="E53" s="8">
        <v>9.6002500000000008</v>
      </c>
      <c r="F53" s="8">
        <f t="shared" si="7"/>
        <v>2.5000000000119371E-4</v>
      </c>
      <c r="G53" s="1">
        <f t="shared" ca="1" si="8"/>
        <v>-4.2360000000059013E-4</v>
      </c>
      <c r="H53" s="46">
        <f t="shared" ca="1" si="19"/>
        <v>-2.0960000000114221E-4</v>
      </c>
      <c r="I53" s="44">
        <f t="shared" si="12"/>
        <v>7</v>
      </c>
      <c r="J53" s="45">
        <f t="shared" ca="1" si="13"/>
        <v>-3.5399999999974341E-4</v>
      </c>
      <c r="K53" s="6">
        <f t="shared" si="14"/>
        <v>14</v>
      </c>
      <c r="L53" s="6">
        <f t="shared" ca="1" si="15"/>
        <v>6.5</v>
      </c>
      <c r="M53" s="6">
        <f t="shared" ca="1" si="16"/>
        <v>7</v>
      </c>
      <c r="N53" s="6">
        <f t="shared" ca="1" si="17"/>
        <v>-1.9800000000014251E-4</v>
      </c>
      <c r="O53" s="7">
        <f t="shared" ca="1" si="18"/>
        <v>-3.5399999999974341E-4</v>
      </c>
    </row>
    <row r="54" spans="3:15" ht="15" thickBot="1" x14ac:dyDescent="0.35">
      <c r="C54">
        <f t="shared" si="6"/>
        <v>0.98000000000000009</v>
      </c>
      <c r="D54">
        <v>9.8000000000000007</v>
      </c>
      <c r="E54" s="8">
        <v>9.8003499999999999</v>
      </c>
      <c r="F54" s="8">
        <f t="shared" si="7"/>
        <v>3.499999999991843E-4</v>
      </c>
      <c r="G54" s="1">
        <f t="shared" ca="1" si="8"/>
        <v>-4.324250000006025E-4</v>
      </c>
      <c r="H54" s="46">
        <f t="shared" ca="1" si="19"/>
        <v>-3.2079999999901077E-4</v>
      </c>
      <c r="I54" s="44">
        <f t="shared" si="12"/>
        <v>7.2</v>
      </c>
      <c r="J54" s="45">
        <f t="shared" ca="1" si="13"/>
        <v>-3.5679999999977953E-4</v>
      </c>
      <c r="K54" s="6">
        <f t="shared" si="14"/>
        <v>15</v>
      </c>
      <c r="L54" s="6">
        <f t="shared" ca="1" si="15"/>
        <v>7</v>
      </c>
      <c r="M54" s="6">
        <f t="shared" ca="1" si="16"/>
        <v>7.5</v>
      </c>
      <c r="N54" s="6">
        <f t="shared" ca="1" si="17"/>
        <v>-3.5399999999974341E-4</v>
      </c>
      <c r="O54" s="7">
        <f t="shared" ca="1" si="18"/>
        <v>-3.6099999999983368E-4</v>
      </c>
    </row>
    <row r="55" spans="3:15" ht="15" thickBot="1" x14ac:dyDescent="0.35">
      <c r="C55">
        <f t="shared" si="6"/>
        <v>1</v>
      </c>
      <c r="D55">
        <v>10</v>
      </c>
      <c r="E55" s="8">
        <v>10.000439999999999</v>
      </c>
      <c r="F55" s="8">
        <f t="shared" si="7"/>
        <v>4.3999999999932982E-4</v>
      </c>
      <c r="G55" s="1">
        <f t="shared" ca="1" si="8"/>
        <v>-4.4125000000061476E-4</v>
      </c>
      <c r="H55" s="46">
        <f t="shared" ca="1" si="19"/>
        <v>-4.2199999999903426E-4</v>
      </c>
      <c r="I55" s="44">
        <f t="shared" si="12"/>
        <v>7.4</v>
      </c>
      <c r="J55" s="45">
        <f t="shared" ca="1" si="13"/>
        <v>-3.5959999999981564E-4</v>
      </c>
      <c r="K55" s="6">
        <f t="shared" si="14"/>
        <v>15</v>
      </c>
      <c r="L55" s="6">
        <f t="shared" ca="1" si="15"/>
        <v>7</v>
      </c>
      <c r="M55" s="6">
        <f t="shared" ca="1" si="16"/>
        <v>7.5</v>
      </c>
      <c r="N55" s="6">
        <f t="shared" ca="1" si="17"/>
        <v>-3.5399999999974341E-4</v>
      </c>
      <c r="O55" s="7">
        <f t="shared" ca="1" si="18"/>
        <v>-3.6099999999983368E-4</v>
      </c>
    </row>
    <row r="56" spans="3:15" ht="15" thickBot="1" x14ac:dyDescent="0.35">
      <c r="C56">
        <f t="shared" si="6"/>
        <v>1.02</v>
      </c>
      <c r="D56">
        <v>10.199999999999999</v>
      </c>
      <c r="E56" s="8">
        <v>10.20054</v>
      </c>
      <c r="F56" s="8">
        <f t="shared" si="7"/>
        <v>5.4000000000087311E-4</v>
      </c>
      <c r="G56" s="1">
        <f t="shared" ca="1" si="8"/>
        <v>-4.5007500000062702E-4</v>
      </c>
      <c r="H56" s="46">
        <f t="shared" ca="1" si="19"/>
        <v>-5.0760000000069636E-4</v>
      </c>
      <c r="I56" s="44">
        <f t="shared" si="12"/>
        <v>7.6</v>
      </c>
      <c r="J56" s="45">
        <f t="shared" ca="1" si="13"/>
        <v>-3.5939999999996531E-4</v>
      </c>
      <c r="K56" s="6">
        <f t="shared" si="14"/>
        <v>16</v>
      </c>
      <c r="L56" s="6">
        <f t="shared" ca="1" si="15"/>
        <v>7.5</v>
      </c>
      <c r="M56" s="6">
        <f t="shared" ca="1" si="16"/>
        <v>8</v>
      </c>
      <c r="N56" s="6">
        <f t="shared" ca="1" si="17"/>
        <v>-3.6099999999983368E-4</v>
      </c>
      <c r="O56" s="7">
        <f t="shared" ca="1" si="18"/>
        <v>-3.5300000000049181E-4</v>
      </c>
    </row>
    <row r="57" spans="3:15" ht="15" thickBot="1" x14ac:dyDescent="0.35">
      <c r="C57">
        <f t="shared" si="6"/>
        <v>1.04</v>
      </c>
      <c r="D57">
        <v>10.4</v>
      </c>
      <c r="E57" s="8">
        <v>10.400600000000001</v>
      </c>
      <c r="F57" s="8">
        <f t="shared" si="7"/>
        <v>6.0000000000037801E-4</v>
      </c>
      <c r="G57" s="1">
        <f t="shared" ca="1" si="8"/>
        <v>-4.589000000006394E-4</v>
      </c>
      <c r="H57" s="46">
        <f t="shared" ca="1" si="19"/>
        <v>-5.5320000000032006E-4</v>
      </c>
      <c r="I57" s="44">
        <f t="shared" si="12"/>
        <v>7.8</v>
      </c>
      <c r="J57" s="45">
        <f t="shared" ca="1" si="13"/>
        <v>-3.5620000000022853E-4</v>
      </c>
      <c r="K57" s="6">
        <f t="shared" si="14"/>
        <v>16</v>
      </c>
      <c r="L57" s="6">
        <f t="shared" ca="1" si="15"/>
        <v>7.5</v>
      </c>
      <c r="M57" s="6">
        <f t="shared" ca="1" si="16"/>
        <v>8</v>
      </c>
      <c r="N57" s="6">
        <f t="shared" ca="1" si="17"/>
        <v>-3.6099999999983368E-4</v>
      </c>
      <c r="O57" s="7">
        <f t="shared" ca="1" si="18"/>
        <v>-3.5300000000049181E-4</v>
      </c>
    </row>
    <row r="58" spans="3:15" ht="15" thickBot="1" x14ac:dyDescent="0.35">
      <c r="C58">
        <f t="shared" si="6"/>
        <v>1.06</v>
      </c>
      <c r="D58">
        <v>10.6</v>
      </c>
      <c r="E58" s="8">
        <v>10.600379999999999</v>
      </c>
      <c r="F58" s="8">
        <f t="shared" si="7"/>
        <v>3.7999999999982492E-4</v>
      </c>
      <c r="G58" s="1">
        <f t="shared" ca="1" si="8"/>
        <v>-4.677250000006516E-4</v>
      </c>
      <c r="H58" s="46">
        <f t="shared" ca="1" si="19"/>
        <v>-3.1839999999982993E-4</v>
      </c>
      <c r="I58" s="44">
        <f t="shared" si="12"/>
        <v>8</v>
      </c>
      <c r="J58" s="45">
        <f t="shared" ca="1" si="13"/>
        <v>-3.5300000000049181E-4</v>
      </c>
      <c r="K58" s="6">
        <f t="shared" si="14"/>
        <v>16</v>
      </c>
      <c r="L58" s="6">
        <f t="shared" ca="1" si="15"/>
        <v>7.5</v>
      </c>
      <c r="M58" s="6">
        <f t="shared" ca="1" si="16"/>
        <v>8</v>
      </c>
      <c r="N58" s="6">
        <f t="shared" ca="1" si="17"/>
        <v>-3.6099999999983368E-4</v>
      </c>
      <c r="O58" s="7">
        <f t="shared" ca="1" si="18"/>
        <v>-3.5300000000049181E-4</v>
      </c>
    </row>
    <row r="59" spans="3:15" ht="15" thickBot="1" x14ac:dyDescent="0.35">
      <c r="C59">
        <f t="shared" si="6"/>
        <v>1.08</v>
      </c>
      <c r="D59">
        <v>10.8</v>
      </c>
      <c r="E59" s="8">
        <v>10.800549999999999</v>
      </c>
      <c r="F59" s="8">
        <f t="shared" si="7"/>
        <v>5.4999999999871818E-4</v>
      </c>
      <c r="G59" s="1">
        <f t="shared" ca="1" si="8"/>
        <v>-4.7655000000066398E-4</v>
      </c>
      <c r="H59" s="46">
        <f t="shared" ca="1" si="19"/>
        <v>-4.7319999999873019E-4</v>
      </c>
      <c r="I59" s="44">
        <f t="shared" si="12"/>
        <v>8.1999999999999993</v>
      </c>
      <c r="J59" s="45">
        <f t="shared" ca="1" si="13"/>
        <v>-3.6182500000050407E-4</v>
      </c>
      <c r="K59" s="6">
        <f t="shared" si="14"/>
        <v>17</v>
      </c>
      <c r="L59" s="6">
        <f t="shared" ca="1" si="15"/>
        <v>8</v>
      </c>
      <c r="M59" s="6">
        <f t="shared" ca="1" si="16"/>
        <v>0</v>
      </c>
      <c r="N59" s="6">
        <f t="shared" ca="1" si="17"/>
        <v>-3.5300000000049181E-4</v>
      </c>
      <c r="O59" s="7">
        <f t="shared" ca="1" si="18"/>
        <v>0</v>
      </c>
    </row>
    <row r="60" spans="3:15" ht="15" thickBot="1" x14ac:dyDescent="0.35">
      <c r="C60">
        <f t="shared" si="6"/>
        <v>1.1000000000000001</v>
      </c>
      <c r="D60">
        <v>11</v>
      </c>
      <c r="E60" s="8">
        <v>11.000019999999999</v>
      </c>
      <c r="F60" s="8">
        <f t="shared" si="7"/>
        <v>1.9999999999242846E-5</v>
      </c>
      <c r="G60" s="1">
        <f t="shared" ca="1" si="8"/>
        <v>-4.8537500000067624E-4</v>
      </c>
      <c r="H60" s="46">
        <f t="shared" ca="1" si="19"/>
        <v>7.200000000073814E-5</v>
      </c>
      <c r="I60" s="44">
        <f t="shared" si="12"/>
        <v>8.4</v>
      </c>
      <c r="J60" s="45">
        <f t="shared" ca="1" si="13"/>
        <v>-3.7065000000051644E-4</v>
      </c>
      <c r="K60" s="6">
        <f t="shared" si="14"/>
        <v>17</v>
      </c>
      <c r="L60" s="6">
        <f t="shared" ca="1" si="15"/>
        <v>8</v>
      </c>
      <c r="M60" s="6">
        <f t="shared" ca="1" si="16"/>
        <v>0</v>
      </c>
      <c r="N60" s="6">
        <f t="shared" ca="1" si="17"/>
        <v>-3.5300000000049181E-4</v>
      </c>
      <c r="O60" s="7">
        <f t="shared" ca="1" si="18"/>
        <v>0</v>
      </c>
    </row>
    <row r="61" spans="3:15" ht="15" thickBot="1" x14ac:dyDescent="0.35">
      <c r="C61">
        <f t="shared" si="6"/>
        <v>1.1199999999999999</v>
      </c>
      <c r="D61">
        <v>11.2</v>
      </c>
      <c r="E61" s="8">
        <v>11.200189999999999</v>
      </c>
      <c r="F61" s="8">
        <f t="shared" si="7"/>
        <v>1.8999999999991246E-4</v>
      </c>
      <c r="G61" s="1">
        <f t="shared" ca="1" si="8"/>
        <v>-4.9420000000068845E-4</v>
      </c>
      <c r="H61" s="46">
        <f t="shared" ca="1" si="19"/>
        <v>-7.7199999999866243E-5</v>
      </c>
      <c r="I61" s="44">
        <f t="shared" si="12"/>
        <v>8.6</v>
      </c>
      <c r="J61" s="45">
        <f t="shared" ca="1" si="13"/>
        <v>-3.7947500000052865E-4</v>
      </c>
      <c r="K61" s="6">
        <f t="shared" si="14"/>
        <v>17</v>
      </c>
      <c r="L61" s="6">
        <f t="shared" ca="1" si="15"/>
        <v>8</v>
      </c>
      <c r="M61" s="6">
        <f t="shared" ca="1" si="16"/>
        <v>0</v>
      </c>
      <c r="N61" s="6">
        <f t="shared" ca="1" si="17"/>
        <v>-3.5300000000049181E-4</v>
      </c>
      <c r="O61" s="7">
        <f t="shared" ca="1" si="18"/>
        <v>0</v>
      </c>
    </row>
    <row r="62" spans="3:15" ht="15" thickBot="1" x14ac:dyDescent="0.35">
      <c r="C62">
        <f t="shared" si="6"/>
        <v>1.1400000000000001</v>
      </c>
      <c r="D62">
        <v>11.4</v>
      </c>
      <c r="E62" s="8">
        <v>11.40029</v>
      </c>
      <c r="F62" s="8">
        <f t="shared" si="7"/>
        <v>2.899999999996794E-4</v>
      </c>
      <c r="G62" s="1">
        <f t="shared" ca="1" si="8"/>
        <v>-5.0302500000070087E-4</v>
      </c>
      <c r="H62" s="46">
        <f t="shared" ca="1" si="19"/>
        <v>-1.5639999999956801E-4</v>
      </c>
      <c r="I62" s="44">
        <f t="shared" si="12"/>
        <v>8.8000000000000007</v>
      </c>
      <c r="J62" s="45">
        <f t="shared" ca="1" si="13"/>
        <v>-3.8830000000054102E-4</v>
      </c>
      <c r="K62" s="6">
        <f t="shared" si="14"/>
        <v>17</v>
      </c>
      <c r="L62" s="6">
        <f t="shared" ca="1" si="15"/>
        <v>8</v>
      </c>
      <c r="M62" s="6">
        <f t="shared" ca="1" si="16"/>
        <v>0</v>
      </c>
      <c r="N62" s="6">
        <f t="shared" ca="1" si="17"/>
        <v>-3.5300000000049181E-4</v>
      </c>
      <c r="O62" s="7">
        <f t="shared" ca="1" si="18"/>
        <v>0</v>
      </c>
    </row>
    <row r="63" spans="3:15" ht="15" thickBot="1" x14ac:dyDescent="0.35">
      <c r="C63">
        <f t="shared" si="6"/>
        <v>1.1599999999999999</v>
      </c>
      <c r="D63">
        <v>11.6</v>
      </c>
      <c r="E63" s="8">
        <v>11.60026</v>
      </c>
      <c r="F63" s="8">
        <f t="shared" si="7"/>
        <v>2.6000000000081513E-4</v>
      </c>
      <c r="G63" s="1">
        <f t="shared" ca="1" si="8"/>
        <v>-5.1185000000071308E-4</v>
      </c>
      <c r="H63" s="46">
        <f t="shared" ca="1" si="19"/>
        <v>-1.0700000000074539E-4</v>
      </c>
      <c r="I63" s="44">
        <f t="shared" si="12"/>
        <v>9</v>
      </c>
      <c r="J63" s="45">
        <f t="shared" ca="1" si="13"/>
        <v>-3.9712500000055329E-4</v>
      </c>
      <c r="K63" s="6">
        <f t="shared" si="14"/>
        <v>17</v>
      </c>
      <c r="L63" s="6">
        <f t="shared" ca="1" si="15"/>
        <v>8</v>
      </c>
      <c r="M63" s="6">
        <f t="shared" ca="1" si="16"/>
        <v>0</v>
      </c>
      <c r="N63" s="6">
        <f t="shared" ca="1" si="17"/>
        <v>-3.5300000000049181E-4</v>
      </c>
      <c r="O63" s="7">
        <f t="shared" ca="1" si="18"/>
        <v>0</v>
      </c>
    </row>
    <row r="64" spans="3:15" ht="15" thickBot="1" x14ac:dyDescent="0.35">
      <c r="C64">
        <f t="shared" si="6"/>
        <v>1.1800000000000002</v>
      </c>
      <c r="D64">
        <v>11.8</v>
      </c>
      <c r="E64" s="8">
        <v>11.80036</v>
      </c>
      <c r="F64" s="8">
        <f t="shared" si="7"/>
        <v>3.5999999999880572E-4</v>
      </c>
      <c r="G64" s="1">
        <f t="shared" ca="1" si="8"/>
        <v>-5.2067500000072551E-4</v>
      </c>
      <c r="H64" s="46">
        <f t="shared" ca="1" si="19"/>
        <v>-1.8899999999888453E-4</v>
      </c>
      <c r="I64" s="44">
        <f t="shared" si="12"/>
        <v>9.1999999999999993</v>
      </c>
      <c r="J64" s="45">
        <f t="shared" ca="1" si="13"/>
        <v>-4.0595000000056555E-4</v>
      </c>
      <c r="K64" s="6">
        <f t="shared" si="14"/>
        <v>17</v>
      </c>
      <c r="L64" s="6">
        <f t="shared" ca="1" si="15"/>
        <v>8</v>
      </c>
      <c r="M64" s="6">
        <f t="shared" ca="1" si="16"/>
        <v>0</v>
      </c>
      <c r="N64" s="6">
        <f t="shared" ca="1" si="17"/>
        <v>-3.5300000000049181E-4</v>
      </c>
      <c r="O64" s="7">
        <f t="shared" ca="1" si="18"/>
        <v>0</v>
      </c>
    </row>
    <row r="65" spans="3:15" ht="15" thickBot="1" x14ac:dyDescent="0.35">
      <c r="C65">
        <f t="shared" si="6"/>
        <v>1.2</v>
      </c>
      <c r="D65">
        <v>12</v>
      </c>
      <c r="E65" s="8">
        <v>12.00046</v>
      </c>
      <c r="F65" s="8">
        <f t="shared" si="7"/>
        <v>4.6000000000034902E-4</v>
      </c>
      <c r="G65" s="1">
        <f t="shared" ca="1" si="8"/>
        <v>-5.2950000000073771E-4</v>
      </c>
      <c r="H65" s="46">
        <f t="shared" ca="1" si="19"/>
        <v>-2.7100000000057634E-4</v>
      </c>
      <c r="I65" s="44">
        <f t="shared" si="12"/>
        <v>9.4</v>
      </c>
      <c r="J65" s="45">
        <f t="shared" ca="1" si="13"/>
        <v>-4.1477500000057792E-4</v>
      </c>
      <c r="K65" s="6">
        <f t="shared" si="14"/>
        <v>17</v>
      </c>
      <c r="L65" s="6">
        <f t="shared" ca="1" si="15"/>
        <v>8</v>
      </c>
      <c r="M65" s="6">
        <f t="shared" ca="1" si="16"/>
        <v>0</v>
      </c>
      <c r="N65" s="6">
        <f t="shared" ca="1" si="17"/>
        <v>-3.5300000000049181E-4</v>
      </c>
      <c r="O65" s="7">
        <f t="shared" ca="1" si="18"/>
        <v>0</v>
      </c>
    </row>
    <row r="66" spans="3:15" ht="15" thickBot="1" x14ac:dyDescent="0.35">
      <c r="I66" s="44">
        <f t="shared" si="12"/>
        <v>9.6</v>
      </c>
      <c r="J66" s="45">
        <f t="shared" ca="1" si="13"/>
        <v>-4.2360000000059013E-4</v>
      </c>
      <c r="K66" s="6">
        <f t="shared" si="14"/>
        <v>17</v>
      </c>
      <c r="L66" s="6">
        <f t="shared" ca="1" si="15"/>
        <v>8</v>
      </c>
      <c r="M66" s="6">
        <f t="shared" ca="1" si="16"/>
        <v>0</v>
      </c>
      <c r="N66" s="6">
        <f t="shared" ca="1" si="17"/>
        <v>-3.5300000000049181E-4</v>
      </c>
      <c r="O66" s="7">
        <f t="shared" ca="1" si="18"/>
        <v>0</v>
      </c>
    </row>
    <row r="67" spans="3:15" ht="15" thickBot="1" x14ac:dyDescent="0.35">
      <c r="I67" s="44">
        <f t="shared" si="12"/>
        <v>9.8000000000000007</v>
      </c>
      <c r="J67" s="45">
        <f t="shared" ca="1" si="13"/>
        <v>-4.324250000006025E-4</v>
      </c>
      <c r="K67" s="6">
        <f t="shared" si="14"/>
        <v>17</v>
      </c>
      <c r="L67" s="6">
        <f t="shared" ca="1" si="15"/>
        <v>8</v>
      </c>
      <c r="M67" s="6">
        <f t="shared" ca="1" si="16"/>
        <v>0</v>
      </c>
      <c r="N67" s="6">
        <f t="shared" ca="1" si="17"/>
        <v>-3.5300000000049181E-4</v>
      </c>
      <c r="O67" s="7">
        <f t="shared" ca="1" si="18"/>
        <v>0</v>
      </c>
    </row>
    <row r="68" spans="3:15" ht="15" thickBot="1" x14ac:dyDescent="0.35">
      <c r="I68" s="44">
        <f t="shared" si="12"/>
        <v>10</v>
      </c>
      <c r="J68" s="45">
        <f t="shared" ca="1" si="13"/>
        <v>-4.4125000000061476E-4</v>
      </c>
      <c r="K68" s="6">
        <f t="shared" si="14"/>
        <v>17</v>
      </c>
      <c r="L68" s="6">
        <f t="shared" ca="1" si="15"/>
        <v>8</v>
      </c>
      <c r="M68" s="6">
        <f t="shared" ca="1" si="16"/>
        <v>0</v>
      </c>
      <c r="N68" s="6">
        <f t="shared" ca="1" si="17"/>
        <v>-3.5300000000049181E-4</v>
      </c>
      <c r="O68" s="7">
        <f t="shared" ca="1" si="18"/>
        <v>0</v>
      </c>
    </row>
    <row r="69" spans="3:15" ht="15" thickBot="1" x14ac:dyDescent="0.35">
      <c r="I69" s="44">
        <f t="shared" si="12"/>
        <v>10.199999999999999</v>
      </c>
      <c r="J69" s="45">
        <f t="shared" ca="1" si="13"/>
        <v>-4.5007500000062702E-4</v>
      </c>
      <c r="K69" s="6">
        <f t="shared" si="14"/>
        <v>17</v>
      </c>
      <c r="L69" s="6">
        <f t="shared" ca="1" si="15"/>
        <v>8</v>
      </c>
      <c r="M69" s="6">
        <f t="shared" ca="1" si="16"/>
        <v>0</v>
      </c>
      <c r="N69" s="6">
        <f t="shared" ca="1" si="17"/>
        <v>-3.5300000000049181E-4</v>
      </c>
      <c r="O69" s="7">
        <f t="shared" ca="1" si="18"/>
        <v>0</v>
      </c>
    </row>
    <row r="70" spans="3:15" ht="15" thickBot="1" x14ac:dyDescent="0.35">
      <c r="I70" s="44">
        <f t="shared" si="12"/>
        <v>10.4</v>
      </c>
      <c r="J70" s="45">
        <f t="shared" ca="1" si="13"/>
        <v>-4.589000000006394E-4</v>
      </c>
      <c r="K70" s="6">
        <f t="shared" si="14"/>
        <v>17</v>
      </c>
      <c r="L70" s="6">
        <f t="shared" ca="1" si="15"/>
        <v>8</v>
      </c>
      <c r="M70" s="6">
        <f t="shared" ca="1" si="16"/>
        <v>0</v>
      </c>
      <c r="N70" s="6">
        <f t="shared" ca="1" si="17"/>
        <v>-3.5300000000049181E-4</v>
      </c>
      <c r="O70" s="7">
        <f t="shared" ca="1" si="18"/>
        <v>0</v>
      </c>
    </row>
    <row r="71" spans="3:15" ht="15" thickBot="1" x14ac:dyDescent="0.35">
      <c r="I71" s="44">
        <f t="shared" si="12"/>
        <v>10.6</v>
      </c>
      <c r="J71" s="45">
        <f t="shared" ca="1" si="13"/>
        <v>-4.677250000006516E-4</v>
      </c>
      <c r="K71" s="6">
        <f t="shared" si="14"/>
        <v>17</v>
      </c>
      <c r="L71" s="6">
        <f t="shared" ca="1" si="15"/>
        <v>8</v>
      </c>
      <c r="M71" s="6">
        <f t="shared" ca="1" si="16"/>
        <v>0</v>
      </c>
      <c r="N71" s="6">
        <f t="shared" ca="1" si="17"/>
        <v>-3.5300000000049181E-4</v>
      </c>
      <c r="O71" s="7">
        <f t="shared" ca="1" si="18"/>
        <v>0</v>
      </c>
    </row>
    <row r="72" spans="3:15" ht="15" thickBot="1" x14ac:dyDescent="0.35">
      <c r="I72" s="44">
        <f t="shared" si="12"/>
        <v>10.8</v>
      </c>
      <c r="J72" s="45">
        <f t="shared" ca="1" si="13"/>
        <v>-4.7655000000066398E-4</v>
      </c>
      <c r="K72" s="6">
        <f t="shared" si="14"/>
        <v>17</v>
      </c>
      <c r="L72" s="6">
        <f t="shared" ca="1" si="15"/>
        <v>8</v>
      </c>
      <c r="M72" s="6">
        <f t="shared" ca="1" si="16"/>
        <v>0</v>
      </c>
      <c r="N72" s="6">
        <f t="shared" ca="1" si="17"/>
        <v>-3.5300000000049181E-4</v>
      </c>
      <c r="O72" s="7">
        <f t="shared" ca="1" si="18"/>
        <v>0</v>
      </c>
    </row>
    <row r="73" spans="3:15" ht="15" thickBot="1" x14ac:dyDescent="0.35">
      <c r="I73" s="44">
        <f t="shared" si="12"/>
        <v>11</v>
      </c>
      <c r="J73" s="45">
        <f t="shared" ca="1" si="13"/>
        <v>-4.8537500000067624E-4</v>
      </c>
      <c r="K73" s="6">
        <f t="shared" si="14"/>
        <v>17</v>
      </c>
      <c r="L73" s="6">
        <f t="shared" ca="1" si="15"/>
        <v>8</v>
      </c>
      <c r="M73" s="6">
        <f t="shared" ca="1" si="16"/>
        <v>0</v>
      </c>
      <c r="N73" s="6">
        <f t="shared" ca="1" si="17"/>
        <v>-3.5300000000049181E-4</v>
      </c>
      <c r="O73" s="7">
        <f t="shared" ca="1" si="18"/>
        <v>0</v>
      </c>
    </row>
    <row r="74" spans="3:15" ht="15" thickBot="1" x14ac:dyDescent="0.35">
      <c r="I74" s="44">
        <f t="shared" si="12"/>
        <v>11.2</v>
      </c>
      <c r="J74" s="45">
        <f t="shared" ca="1" si="13"/>
        <v>-4.9420000000068845E-4</v>
      </c>
      <c r="K74" s="6">
        <f t="shared" si="14"/>
        <v>17</v>
      </c>
      <c r="L74" s="6">
        <f t="shared" ca="1" si="15"/>
        <v>8</v>
      </c>
      <c r="M74" s="6">
        <f t="shared" ca="1" si="16"/>
        <v>0</v>
      </c>
      <c r="N74" s="6">
        <f t="shared" ca="1" si="17"/>
        <v>-3.5300000000049181E-4</v>
      </c>
      <c r="O74" s="7">
        <f t="shared" ca="1" si="18"/>
        <v>0</v>
      </c>
    </row>
    <row r="75" spans="3:15" ht="15" thickBot="1" x14ac:dyDescent="0.35">
      <c r="I75" s="44">
        <f t="shared" si="12"/>
        <v>11.4</v>
      </c>
      <c r="J75" s="45">
        <f t="shared" ca="1" si="13"/>
        <v>-5.0302500000070087E-4</v>
      </c>
      <c r="K75" s="6">
        <f t="shared" si="14"/>
        <v>17</v>
      </c>
      <c r="L75" s="6">
        <f t="shared" ca="1" si="15"/>
        <v>8</v>
      </c>
      <c r="M75" s="6">
        <f t="shared" ca="1" si="16"/>
        <v>0</v>
      </c>
      <c r="N75" s="6">
        <f t="shared" ca="1" si="17"/>
        <v>-3.5300000000049181E-4</v>
      </c>
      <c r="O75" s="7">
        <f t="shared" ca="1" si="18"/>
        <v>0</v>
      </c>
    </row>
    <row r="76" spans="3:15" ht="15" thickBot="1" x14ac:dyDescent="0.35">
      <c r="I76" s="44">
        <f t="shared" si="12"/>
        <v>11.6</v>
      </c>
      <c r="J76" s="45">
        <f t="shared" ca="1" si="13"/>
        <v>-5.1185000000071308E-4</v>
      </c>
      <c r="K76" s="6">
        <f t="shared" si="14"/>
        <v>17</v>
      </c>
      <c r="L76" s="6">
        <f t="shared" ca="1" si="15"/>
        <v>8</v>
      </c>
      <c r="M76" s="6">
        <f t="shared" ca="1" si="16"/>
        <v>0</v>
      </c>
      <c r="N76" s="6">
        <f t="shared" ca="1" si="17"/>
        <v>-3.5300000000049181E-4</v>
      </c>
      <c r="O76" s="7">
        <f t="shared" ca="1" si="18"/>
        <v>0</v>
      </c>
    </row>
    <row r="77" spans="3:15" ht="15" thickBot="1" x14ac:dyDescent="0.35">
      <c r="I77" s="44">
        <f t="shared" si="12"/>
        <v>11.8</v>
      </c>
      <c r="J77" s="45">
        <f t="shared" ca="1" si="13"/>
        <v>-5.2067500000072551E-4</v>
      </c>
      <c r="K77" s="6">
        <f t="shared" si="14"/>
        <v>17</v>
      </c>
      <c r="L77" s="6">
        <f t="shared" ca="1" si="15"/>
        <v>8</v>
      </c>
      <c r="M77" s="6">
        <f t="shared" ca="1" si="16"/>
        <v>0</v>
      </c>
      <c r="N77" s="6">
        <f t="shared" ca="1" si="17"/>
        <v>-3.5300000000049181E-4</v>
      </c>
      <c r="O77" s="7">
        <f t="shared" ca="1" si="18"/>
        <v>0</v>
      </c>
    </row>
    <row r="78" spans="3:15" ht="15" thickBot="1" x14ac:dyDescent="0.35">
      <c r="I78" s="44">
        <f t="shared" si="12"/>
        <v>12</v>
      </c>
      <c r="J78" s="45">
        <f t="shared" ca="1" si="13"/>
        <v>-5.2950000000073771E-4</v>
      </c>
      <c r="K78" s="6">
        <f t="shared" si="14"/>
        <v>17</v>
      </c>
      <c r="L78" s="6">
        <f t="shared" ca="1" si="15"/>
        <v>8</v>
      </c>
      <c r="M78" s="6">
        <f t="shared" ca="1" si="16"/>
        <v>0</v>
      </c>
      <c r="N78" s="6">
        <f t="shared" ca="1" si="17"/>
        <v>-3.5300000000049181E-4</v>
      </c>
      <c r="O78" s="7">
        <f t="shared" ca="1" si="18"/>
        <v>0</v>
      </c>
    </row>
    <row r="79" spans="3:15" ht="15" thickBot="1" x14ac:dyDescent="0.35">
      <c r="I79" s="44">
        <f t="shared" si="12"/>
        <v>0</v>
      </c>
      <c r="J79" s="45" t="e">
        <f t="shared" ca="1" si="13"/>
        <v>#VALUE!</v>
      </c>
      <c r="K79" s="6">
        <f t="shared" si="14"/>
        <v>0</v>
      </c>
      <c r="L79" s="6" t="str">
        <f t="shared" ca="1" si="15"/>
        <v>Nominal</v>
      </c>
      <c r="M79" s="6">
        <f t="shared" ca="1" si="16"/>
        <v>0</v>
      </c>
      <c r="N79" s="6" t="str">
        <f t="shared" ca="1" si="17"/>
        <v>Characterized Correction</v>
      </c>
      <c r="O79" s="7">
        <f t="shared" ca="1" si="18"/>
        <v>0</v>
      </c>
    </row>
    <row r="80" spans="3:15" ht="15" thickBot="1" x14ac:dyDescent="0.35">
      <c r="I80" s="44">
        <f t="shared" si="12"/>
        <v>0</v>
      </c>
      <c r="J80" s="45" t="e">
        <f t="shared" ca="1" si="13"/>
        <v>#VALUE!</v>
      </c>
      <c r="K80" s="6">
        <f t="shared" si="14"/>
        <v>0</v>
      </c>
      <c r="L80" s="6" t="str">
        <f t="shared" ca="1" si="15"/>
        <v>Nominal</v>
      </c>
      <c r="M80" s="6">
        <f t="shared" ca="1" si="16"/>
        <v>0</v>
      </c>
      <c r="N80" s="6" t="str">
        <f t="shared" ca="1" si="17"/>
        <v>Characterized Correction</v>
      </c>
      <c r="O80" s="7">
        <f t="shared" ca="1" si="18"/>
        <v>0</v>
      </c>
    </row>
  </sheetData>
  <sheetProtection selectLockedCells="1" selectUnlockedCells="1"/>
  <phoneticPr fontId="0" type="noConversion"/>
  <pageMargins left="0.7" right="0.7" top="0.75" bottom="0.75" header="0.3" footer="0.3"/>
  <pageSetup scale="68" orientation="portrait" horizontalDpi="4294967292" r:id="rId1"/>
  <rowBreaks count="1" manualBreakCount="1">
    <brk id="65" max="7" man="1"/>
  </rowBreaks>
  <colBreaks count="2" manualBreakCount="2">
    <brk id="8" max="64" man="1"/>
    <brk id="17" max="6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4:I19"/>
  <sheetViews>
    <sheetView workbookViewId="0">
      <selection activeCell="G20" sqref="G20"/>
    </sheetView>
  </sheetViews>
  <sheetFormatPr defaultRowHeight="14.4" x14ac:dyDescent="0.3"/>
  <cols>
    <col min="6" max="6" width="9.109375" style="47"/>
  </cols>
  <sheetData>
    <row r="4" spans="6:9" x14ac:dyDescent="0.3">
      <c r="F4" s="47" t="s">
        <v>174</v>
      </c>
      <c r="G4">
        <v>10</v>
      </c>
      <c r="H4" t="s">
        <v>175</v>
      </c>
      <c r="I4" t="s">
        <v>176</v>
      </c>
    </row>
    <row r="5" spans="6:9" x14ac:dyDescent="0.3">
      <c r="F5" s="47" t="s">
        <v>177</v>
      </c>
      <c r="G5">
        <v>0.2</v>
      </c>
      <c r="H5" t="s">
        <v>178</v>
      </c>
    </row>
    <row r="6" spans="6:9" x14ac:dyDescent="0.3">
      <c r="F6" s="47" t="s">
        <v>179</v>
      </c>
      <c r="G6">
        <f>G5*G4</f>
        <v>2</v>
      </c>
      <c r="H6" t="s">
        <v>178</v>
      </c>
    </row>
    <row r="7" spans="6:9" x14ac:dyDescent="0.3">
      <c r="F7" s="47" t="s">
        <v>180</v>
      </c>
      <c r="G7">
        <v>2.0099999999999998</v>
      </c>
      <c r="H7" t="s">
        <v>178</v>
      </c>
    </row>
    <row r="8" spans="6:9" x14ac:dyDescent="0.3">
      <c r="F8" s="47" t="s">
        <v>181</v>
      </c>
      <c r="G8">
        <f>G7-G6</f>
        <v>9.9999999999997868E-3</v>
      </c>
      <c r="H8" t="s">
        <v>178</v>
      </c>
    </row>
    <row r="9" spans="6:9" x14ac:dyDescent="0.3">
      <c r="F9" s="47" t="s">
        <v>182</v>
      </c>
      <c r="G9">
        <f>G8/10</f>
        <v>9.9999999999997877E-4</v>
      </c>
      <c r="H9" t="s">
        <v>178</v>
      </c>
    </row>
    <row r="10" spans="6:9" x14ac:dyDescent="0.3">
      <c r="G10">
        <f>G8/G6</f>
        <v>4.9999999999998934E-3</v>
      </c>
    </row>
    <row r="11" spans="6:9" x14ac:dyDescent="0.3">
      <c r="G11">
        <f>G10*G4</f>
        <v>4.9999999999998934E-2</v>
      </c>
      <c r="H11" t="s">
        <v>183</v>
      </c>
    </row>
    <row r="12" spans="6:9" x14ac:dyDescent="0.3">
      <c r="G12">
        <f>G11+G4</f>
        <v>10.049999999999999</v>
      </c>
      <c r="H12" t="s">
        <v>184</v>
      </c>
    </row>
    <row r="13" spans="6:9" x14ac:dyDescent="0.3">
      <c r="G13">
        <f>G12*G5</f>
        <v>2.0099999999999998</v>
      </c>
    </row>
    <row r="15" spans="6:9" x14ac:dyDescent="0.3">
      <c r="G15">
        <f>G11/G4</f>
        <v>4.9999999999998934E-3</v>
      </c>
    </row>
    <row r="16" spans="6:9" x14ac:dyDescent="0.3">
      <c r="G16">
        <f>G15*100</f>
        <v>0.49999999999998934</v>
      </c>
      <c r="H16" t="s">
        <v>185</v>
      </c>
    </row>
    <row r="19" spans="7:7" x14ac:dyDescent="0.3">
      <c r="G19">
        <f>((G7-G6)/G6)*100</f>
        <v>0.49999999999998934</v>
      </c>
    </row>
  </sheetData>
  <sheetProtection sheet="1" objects="1" scenarios="1" selectLockedCells="1" selectUn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215151F0303499BDAEC3D9E59A7A6" ma:contentTypeVersion="4" ma:contentTypeDescription="Create a new document." ma:contentTypeScope="" ma:versionID="9b87bd9f90b0ef386413a2eef7b2c783">
  <xsd:schema xmlns:xsd="http://www.w3.org/2001/XMLSchema" xmlns:xs="http://www.w3.org/2001/XMLSchema" xmlns:p="http://schemas.microsoft.com/office/2006/metadata/properties" xmlns:ns2="88488a29-9815-4d47-be55-149b9ced79e0" targetNamespace="http://schemas.microsoft.com/office/2006/metadata/properties" ma:root="true" ma:fieldsID="e34f65b9db6cbdec6089a37b7259023c" ns2:_="">
    <xsd:import namespace="88488a29-9815-4d47-be55-149b9ced79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88a29-9815-4d47-be55-149b9ced7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876D66-552C-43EE-8608-E86B0716B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488a29-9815-4d47-be55-149b9ced79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1694D-51D7-4836-B7DD-374A136C83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CF268-7126-4A4B-A104-0A0EA40C46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Worksheet</vt:lpstr>
      <vt:lpstr>Machine info</vt:lpstr>
      <vt:lpstr>OC3000 Values</vt:lpstr>
      <vt:lpstr>OC4000 Values</vt:lpstr>
      <vt:lpstr>Vaidation Log</vt:lpstr>
      <vt:lpstr>OC1000 Values</vt:lpstr>
      <vt:lpstr>OC1000 Calibration</vt:lpstr>
      <vt:lpstr>OC100A Results 2019</vt:lpstr>
      <vt:lpstr>Magscale OC100 Old test</vt:lpstr>
      <vt:lpstr>Sheet2</vt:lpstr>
      <vt:lpstr>'Magscale OC100 Old test'!Print_Area</vt:lpstr>
      <vt:lpstr>'OC100A Results 2019'!Print_Area</vt:lpstr>
      <vt:lpstr>Worksheet!Print_Area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Vogt</dc:creator>
  <cp:keywords/>
  <dc:description/>
  <cp:lastModifiedBy>Johnny Vogt</cp:lastModifiedBy>
  <cp:revision/>
  <dcterms:created xsi:type="dcterms:W3CDTF">2013-05-31T17:20:22Z</dcterms:created>
  <dcterms:modified xsi:type="dcterms:W3CDTF">2025-11-06T20:09:22Z</dcterms:modified>
  <cp:category/>
  <cp:contentStatus/>
  <cp:version>12-2-2024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0x0101000CC215151F0303499BDAEC3D9E59A7A6</vt:lpwstr>
  </property>
</Properties>
</file>